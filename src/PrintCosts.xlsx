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7036EBF1-67B3-4238-8892-9A211C6737BD}" xr6:coauthVersionLast="47" xr6:coauthVersionMax="47" xr10:uidLastSave="{00000000-0000-0000-0000-000000000000}"/>
  <bookViews>
    <workbookView xWindow="1290" yWindow="-110" windowWidth="24420" windowHeight="14620" activeTab="9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Example Print Room" sheetId="10" r:id="rId10"/>
  </sheets>
  <definedNames>
    <definedName name="LOC_Code" localSheetId="9">'Example Print Room'!$AM$2</definedName>
    <definedName name="LOC_DefDisCons" localSheetId="9">'Example Print Room'!$AM$4</definedName>
    <definedName name="LOC_DefDisPaper" localSheetId="9">'Example Print Room'!$AM$3</definedName>
    <definedName name="LOC_Dept" localSheetId="9">'Example Print Room'!$B$2</definedName>
    <definedName name="LOC_Name" localSheetId="9">'Example Print Room'!$B$1</definedName>
    <definedName name="LOC_Printers" localSheetId="9">'Example Print Room'!$AM$7</definedName>
    <definedName name="LOC_Status" localSheetId="9">'Example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LASTREF">Settings!$C$13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<sst xmlns="http://schemas.openxmlformats.org/spreadsheetml/2006/main" count="445" uniqueCount="225">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</sst>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3" totalsRowShown="0">
  <autoFilter ref="A5:D13" xr:uid="{00000000-0009-0000-0100-000001000000}"/>
  <tableColumns count="4">
    <tableColumn id="1" xr3:uid="{00000000-0010-0000-0000-000001000000}" name="Key" dataDxfId="15"/>
    <tableColumn id="2" xr3:uid="{00000000-0010-0000-0000-000002000000}" name="Setting" dataDxfId="14"/>
    <tableColumn id="3" xr3:uid="{00000000-0010-0000-0000-000003000000}" name="Value" dataDxfId="13"/>
    <tableColumn id="4" xr3:uid="{00000000-0010-0000-0000-000004000000}" name="Notes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11"/>
    <tableColumn id="3" xr3:uid="{00000000-0010-0000-0300-000003000000}" name="Height mm" dataDxfId="10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9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8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7"/>
    <tableColumn id="5" xr3:uid="{00000000-0010-0000-0600-000005000000}" name="Supported families" dataDxfId="6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5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4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"/>
    <tableColumn id="9" xr3:uid="{00000000-0010-0000-0700-000009000000}" name="Height mm" dataDxfId="2"/>
    <tableColumn id="10" xr3:uid="{00000000-0010-0000-0700-00000A000000}" name="Cost" dataDxfId="1"/>
    <tableColumn id="11" xr3:uid="{00000000-0010-0000-0700-00000B000000}" name="Cost unit" dataDxfId="0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48"/>
    <tableColumn id="4" xr3:uid="{00000000-0010-0000-0A00-000004000000}" name="Student Name" dataDxfId="47"/>
    <tableColumn id="5" xr3:uid="{00000000-0010-0000-0A00-000005000000}" name="Student No" dataDxfId="46"/>
    <tableColumn id="6" xr3:uid="{00000000-0010-0000-0A00-000006000000}" name="Technician" dataDxfId="45"/>
    <tableColumn id="7" xr3:uid="{00000000-0010-0000-0A00-000007000000}" name="Printer" dataDxfId="44"/>
    <tableColumn id="8" xr3:uid="{00000000-0010-0000-0A00-000008000000}" name="Paper Stock" dataDxfId="43"/>
    <tableColumn id="9" xr3:uid="{00000000-0010-0000-0A00-000009000000}" name="Unit" dataDxfId="42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41"/>
    <tableColumn id="11" xr3:uid="{00000000-0010-0000-0A00-00000B000000}" name="Print Width mm" dataDxfId="40"/>
    <tableColumn id="12" xr3:uid="{00000000-0010-0000-0A00-00000C000000}" name="Disregard Paper" dataDxfId="39"/>
    <tableColumn id="13" xr3:uid="{00000000-0010-0000-0A00-00000D000000}" name="Disregard Consumable" dataDxfId="38"/>
    <tableColumn id="14" xr3:uid="{00000000-0010-0000-0A00-00000E000000}" name="Area m2" dataDxfId="37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36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35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34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33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32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31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30"/>
    <tableColumn id="20" xr3:uid="{00000000-0010-0000-0A00-000014000000}" name="Notes" dataDxfId="29"/>
    <tableColumn id="21" xr3:uid="{00000000-0010-0000-0A00-000015000000}" name="H_Issues" dataDxfId="28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27"/>
    <tableColumn id="23" xr3:uid="{00000000-0010-0000-0A00-000017000000}" name="S_StockID" dataDxfId="26"/>
    <tableColumn id="24" xr3:uid="{00000000-0010-0000-0A00-000018000000}" name="S_TechID" dataDxfId="25"/>
    <tableColumn id="25" xr3:uid="{00000000-0010-0000-0A00-000019000000}" name="S_Family" dataDxfId="24"/>
    <tableColumn id="26" xr3:uid="{00000000-0010-0000-0A00-00001A000000}" name="S_Measure" dataDxfId="23"/>
    <tableColumn id="27" xr3:uid="{00000000-0010-0000-0A00-00001B000000}" name="S_UnitCost" dataDxfId="22"/>
    <tableColumn id="28" xr3:uid="{00000000-0010-0000-0A00-00001C000000}" name="S_StockWidth_mm" dataDxfId="21"/>
    <tableColumn id="29" xr3:uid="{00000000-0010-0000-0A00-00001D000000}" name="S_SheetHeight_mm" dataDxfId="20"/>
    <tableColumn id="30" xr3:uid="{00000000-0010-0000-0A00-00001E000000}" name="S_ConsRate" dataDxfId="19"/>
    <tableColumn id="31" xr3:uid="{00000000-0010-0000-0A00-00001F000000}" name="S_StampedAt" dataDxfId="18"/>
    <tableColumn id="32" xr3:uid="{00000000-0010-0000-0A00-000020000000}" name="S_StampedBy" dataDxfId="17"/>
    <tableColumn id="33" xr3:uid="{00000000-0010-0000-0A00-000021000000}" name="S_SchemaVer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showGridLines="0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71</v>
      </c>
    </row>
    <row r="3" spans="1:20" x14ac:dyDescent="0.35">
      <c r="T3" s="2" t="s">
        <v>72</v>
      </c>
    </row>
    <row r="4" spans="1:20" x14ac:dyDescent="0.35">
      <c r="A4" s="3" t="s">
        <v>2</v>
      </c>
      <c r="F4" s="3" t="s">
        <v>35</v>
      </c>
      <c r="I4" s="3" t="s">
        <v>45</v>
      </c>
      <c r="M4" s="3" t="s">
        <v>55</v>
      </c>
      <c r="Q4" s="3" t="s">
        <v>65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36</v>
      </c>
      <c r="G5" s="4" t="s">
        <v>37</v>
      </c>
      <c r="I5" s="4" t="s">
        <v>46</v>
      </c>
      <c r="J5" s="4" t="s">
        <v>47</v>
      </c>
      <c r="K5" s="4" t="s">
        <v>6</v>
      </c>
      <c r="M5" s="4" t="s">
        <v>56</v>
      </c>
      <c r="N5" s="4" t="s">
        <v>57</v>
      </c>
      <c r="O5" s="4" t="s">
        <v>58</v>
      </c>
      <c r="Q5" s="4" t="s">
        <v>66</v>
      </c>
      <c r="R5" s="4" t="s">
        <v>37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38</v>
      </c>
      <c r="G6" t="s">
        <v>39</v>
      </c>
      <c r="I6" t="s">
        <v>48</v>
      </c>
      <c r="J6" t="s">
        <v>48</v>
      </c>
      <c r="K6" t="s">
        <v>49</v>
      </c>
      <c r="M6" t="s">
        <v>59</v>
      </c>
      <c r="N6" s="8">
        <v>841</v>
      </c>
      <c r="O6" s="8">
        <v>1189</v>
      </c>
      <c r="Q6" t="s">
        <v>67</v>
      </c>
      <c r="R6" t="s">
        <v>39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40</v>
      </c>
      <c r="G7" t="s">
        <v>39</v>
      </c>
      <c r="I7" t="s">
        <v>50</v>
      </c>
      <c r="J7" t="s">
        <v>51</v>
      </c>
      <c r="K7" t="s">
        <v>52</v>
      </c>
      <c r="M7" t="s">
        <v>60</v>
      </c>
      <c r="N7" s="8">
        <v>594</v>
      </c>
      <c r="O7" s="8">
        <v>841</v>
      </c>
      <c r="Q7" t="s">
        <v>68</v>
      </c>
      <c r="R7" t="s">
        <v>39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41</v>
      </c>
      <c r="G8" t="s">
        <v>39</v>
      </c>
      <c r="I8" t="s">
        <v>53</v>
      </c>
      <c r="J8" t="s">
        <v>51</v>
      </c>
      <c r="K8" t="s">
        <v>54</v>
      </c>
      <c r="M8" t="s">
        <v>61</v>
      </c>
      <c r="N8" s="8">
        <v>420</v>
      </c>
      <c r="O8" s="8">
        <v>594</v>
      </c>
      <c r="Q8" t="s">
        <v>69</v>
      </c>
      <c r="R8" t="s">
        <v>39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42</v>
      </c>
      <c r="G9" t="s">
        <v>39</v>
      </c>
      <c r="M9" t="s">
        <v>62</v>
      </c>
      <c r="N9" s="8">
        <v>297</v>
      </c>
      <c r="O9" s="8">
        <v>420</v>
      </c>
      <c r="Q9" t="s">
        <v>70</v>
      </c>
      <c r="R9" t="s">
        <v>39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43</v>
      </c>
      <c r="G10" t="s">
        <v>39</v>
      </c>
      <c r="M10" t="s">
        <v>63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44</v>
      </c>
      <c r="G11" t="s">
        <v>39</v>
      </c>
      <c r="M11" t="s">
        <v>64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 t="s">
        <v>30</v>
      </c>
      <c r="D12" s="5" t="s">
        <v>31</v>
      </c>
    </row>
    <row r="13" spans="1:20" x14ac:dyDescent="0.35">
      <c r="A13" s="5" t="s">
        <v>32</v>
      </c>
      <c r="B13" s="6" t="s">
        <v>33</v>
      </c>
      <c r="C13" s="7"/>
      <c r="D13" s="5" t="s">
        <v>34</v>
      </c>
    </row>
  </sheetData>
  <sheetProtection sheet="1" formatColumns="0" formatRows="0" sort="0" autoFilter="0"/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73</v>
      </c>
    </row>
    <row r="2" spans="1:4" x14ac:dyDescent="0.35">
      <c r="A2" s="2" t="s">
        <v>74</v>
      </c>
    </row>
    <row r="5" spans="1:4" x14ac:dyDescent="0.35">
      <c r="A5" s="4" t="s">
        <v>75</v>
      </c>
      <c r="B5" s="4" t="s">
        <v>76</v>
      </c>
      <c r="C5" s="4" t="s">
        <v>19</v>
      </c>
      <c r="D5" s="4" t="s">
        <v>37</v>
      </c>
    </row>
    <row r="6" spans="1:4" x14ac:dyDescent="0.35">
      <c r="A6" s="5" t="s">
        <v>77</v>
      </c>
      <c r="B6" t="s">
        <v>78</v>
      </c>
      <c r="C6" t="s">
        <v>20</v>
      </c>
      <c r="D6" t="s">
        <v>39</v>
      </c>
    </row>
    <row r="7" spans="1:4" x14ac:dyDescent="0.35">
      <c r="A7" s="5" t="s">
        <v>79</v>
      </c>
      <c r="B7" t="s">
        <v>80</v>
      </c>
      <c r="C7" t="s">
        <v>20</v>
      </c>
      <c r="D7" t="s">
        <v>39</v>
      </c>
    </row>
    <row r="8" spans="1:4" x14ac:dyDescent="0.35">
      <c r="A8" s="5" t="s">
        <v>81</v>
      </c>
      <c r="B8" t="s">
        <v>82</v>
      </c>
      <c r="C8" t="s">
        <v>83</v>
      </c>
      <c r="D8" t="s">
        <v>39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84</v>
      </c>
    </row>
    <row r="2" spans="1:8" x14ac:dyDescent="0.35">
      <c r="A2" s="2" t="s">
        <v>85</v>
      </c>
    </row>
    <row r="4" spans="1:8" x14ac:dyDescent="0.35">
      <c r="H4" s="2" t="s">
        <v>99</v>
      </c>
    </row>
    <row r="5" spans="1:8" x14ac:dyDescent="0.35">
      <c r="A5" s="4" t="s">
        <v>86</v>
      </c>
      <c r="B5" s="4" t="s">
        <v>87</v>
      </c>
      <c r="C5" s="4" t="s">
        <v>66</v>
      </c>
      <c r="D5" s="4" t="s">
        <v>88</v>
      </c>
      <c r="E5" s="4" t="s">
        <v>89</v>
      </c>
      <c r="F5" s="4" t="s">
        <v>37</v>
      </c>
    </row>
    <row r="6" spans="1:8" x14ac:dyDescent="0.35">
      <c r="A6" s="5" t="s">
        <v>90</v>
      </c>
      <c r="B6" t="s">
        <v>91</v>
      </c>
      <c r="C6" t="s">
        <v>67</v>
      </c>
      <c r="D6" s="9">
        <v>2.85</v>
      </c>
      <c r="E6" s="5" t="s">
        <v>92</v>
      </c>
      <c r="F6" t="s">
        <v>39</v>
      </c>
    </row>
    <row r="7" spans="1:8" x14ac:dyDescent="0.35">
      <c r="A7" s="5" t="s">
        <v>93</v>
      </c>
      <c r="B7" t="s">
        <v>94</v>
      </c>
      <c r="C7" t="s">
        <v>67</v>
      </c>
      <c r="D7" s="9">
        <v>2.4</v>
      </c>
      <c r="E7" s="5" t="s">
        <v>50</v>
      </c>
      <c r="F7" t="s">
        <v>39</v>
      </c>
    </row>
    <row r="8" spans="1:8" x14ac:dyDescent="0.35">
      <c r="A8" s="5" t="s">
        <v>95</v>
      </c>
      <c r="B8" t="s">
        <v>96</v>
      </c>
      <c r="C8" t="s">
        <v>68</v>
      </c>
      <c r="D8" s="9">
        <v>0.95</v>
      </c>
      <c r="E8" s="5" t="s">
        <v>48</v>
      </c>
      <c r="F8" t="s">
        <v>39</v>
      </c>
    </row>
    <row r="9" spans="1:8" x14ac:dyDescent="0.35">
      <c r="A9" s="5" t="s">
        <v>97</v>
      </c>
      <c r="B9" t="s">
        <v>98</v>
      </c>
      <c r="C9" t="s">
        <v>70</v>
      </c>
      <c r="D9" s="9">
        <v>1.75</v>
      </c>
      <c r="E9" s="5" t="s">
        <v>53</v>
      </c>
      <c r="F9" t="s">
        <v>39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100</v>
      </c>
    </row>
    <row r="2" spans="1:14" x14ac:dyDescent="0.35">
      <c r="A2" s="2" t="s">
        <v>101</v>
      </c>
    </row>
    <row r="4" spans="1:14" x14ac:dyDescent="0.35">
      <c r="N4" s="2" t="s">
        <v>129</v>
      </c>
    </row>
    <row r="5" spans="1:14" x14ac:dyDescent="0.35">
      <c r="A5" s="4" t="s">
        <v>102</v>
      </c>
      <c r="B5" s="4" t="s">
        <v>103</v>
      </c>
      <c r="C5" s="4" t="s">
        <v>36</v>
      </c>
      <c r="D5" s="4" t="s">
        <v>46</v>
      </c>
      <c r="E5" s="4" t="s">
        <v>104</v>
      </c>
      <c r="F5" s="4" t="s">
        <v>105</v>
      </c>
      <c r="G5" s="4" t="s">
        <v>106</v>
      </c>
      <c r="H5" s="4" t="s">
        <v>57</v>
      </c>
      <c r="I5" s="4" t="s">
        <v>58</v>
      </c>
      <c r="J5" s="4" t="s">
        <v>107</v>
      </c>
      <c r="K5" s="4" t="s">
        <v>108</v>
      </c>
      <c r="L5" s="4" t="s">
        <v>37</v>
      </c>
    </row>
    <row r="6" spans="1:14" x14ac:dyDescent="0.35">
      <c r="A6" s="5" t="s">
        <v>109</v>
      </c>
      <c r="B6" t="s">
        <v>110</v>
      </c>
      <c r="C6" t="s">
        <v>41</v>
      </c>
      <c r="D6" t="s">
        <v>48</v>
      </c>
      <c r="E6" s="10" t="str">
        <f ca="1">IF(tblPapers[[#This Row],[Family]]="","",IFERROR(INDEX(tblPaperFamilies[Measurement basis],MATCH(tblPapers[[#This Row],[Family]],tblPaperFamilies[Family],0)),"?"))</f>
        <v>Sheet</v>
      </c>
      <c r="F6" t="s">
        <v>111</v>
      </c>
      <c r="G6" t="s">
        <v>60</v>
      </c>
      <c r="H6" s="8">
        <v>594</v>
      </c>
      <c r="I6" s="8">
        <v>841</v>
      </c>
      <c r="J6" s="11">
        <v>0.42</v>
      </c>
      <c r="K6" s="10" t="str">
        <f ca="1">IF(tblPapers[[#This Row],[Measure]]="","",IF(tblPapers[[#This Row],[Measure]]="Sheet","£ per sheet","£ per metre"))</f>
        <v>£ per sheet</v>
      </c>
      <c r="L6" t="s">
        <v>39</v>
      </c>
    </row>
    <row r="7" spans="1:14" x14ac:dyDescent="0.35">
      <c r="A7" s="5" t="s">
        <v>112</v>
      </c>
      <c r="B7" t="s">
        <v>113</v>
      </c>
      <c r="C7" t="s">
        <v>41</v>
      </c>
      <c r="D7" t="s">
        <v>48</v>
      </c>
      <c r="E7" s="10" t="str">
        <f ca="1">IF(tblPapers[[#This Row],[Family]]="","",IFERROR(INDEX(tblPaperFamilies[Measurement basis],MATCH(tblPapers[[#This Row],[Family]],tblPaperFamilies[Family],0)),"?"))</f>
        <v>Sheet</v>
      </c>
      <c r="F7" t="s">
        <v>111</v>
      </c>
      <c r="G7" t="s">
        <v>61</v>
      </c>
      <c r="H7" s="8">
        <v>420</v>
      </c>
      <c r="I7" s="8">
        <v>594</v>
      </c>
      <c r="J7" s="11">
        <v>0.24</v>
      </c>
      <c r="K7" s="10" t="str">
        <f ca="1">IF(tblPapers[[#This Row],[Measure]]="","",IF(tblPapers[[#This Row],[Measure]]="Sheet","£ per sheet","£ per metre"))</f>
        <v>£ per sheet</v>
      </c>
      <c r="L7" t="s">
        <v>39</v>
      </c>
    </row>
    <row r="8" spans="1:14" x14ac:dyDescent="0.35">
      <c r="A8" s="5" t="s">
        <v>114</v>
      </c>
      <c r="B8" t="s">
        <v>115</v>
      </c>
      <c r="C8" t="s">
        <v>40</v>
      </c>
      <c r="D8" t="s">
        <v>48</v>
      </c>
      <c r="E8" s="10" t="str">
        <f ca="1">IF(tblPapers[[#This Row],[Family]]="","",IFERROR(INDEX(tblPaperFamilies[Measurement basis],MATCH(tblPapers[[#This Row],[Family]],tblPaperFamilies[Family],0)),"?"))</f>
        <v>Sheet</v>
      </c>
      <c r="F8" t="s">
        <v>111</v>
      </c>
      <c r="G8" t="s">
        <v>64</v>
      </c>
      <c r="H8" s="8">
        <v>320</v>
      </c>
      <c r="I8" s="8">
        <v>450</v>
      </c>
      <c r="J8" s="11">
        <v>0.31</v>
      </c>
      <c r="K8" s="10" t="str">
        <f ca="1">IF(tblPapers[[#This Row],[Measure]]="","",IF(tblPapers[[#This Row],[Measure]]="Sheet","£ per sheet","£ per metre"))</f>
        <v>£ per sheet</v>
      </c>
      <c r="L8" t="s">
        <v>39</v>
      </c>
    </row>
    <row r="9" spans="1:14" x14ac:dyDescent="0.35">
      <c r="A9" s="5" t="s">
        <v>116</v>
      </c>
      <c r="B9" t="s">
        <v>117</v>
      </c>
      <c r="C9" t="s">
        <v>44</v>
      </c>
      <c r="D9" t="s">
        <v>48</v>
      </c>
      <c r="E9" s="10" t="str">
        <f ca="1">IF(tblPapers[[#This Row],[Family]]="","",IFERROR(INDEX(tblPaperFamilies[Measurement basis],MATCH(tblPapers[[#This Row],[Family]],tblPaperFamilies[Family],0)),"?"))</f>
        <v>Sheet</v>
      </c>
      <c r="F9" t="s">
        <v>111</v>
      </c>
      <c r="G9" t="s">
        <v>62</v>
      </c>
      <c r="H9" s="8">
        <v>297</v>
      </c>
      <c r="I9" s="8">
        <v>420</v>
      </c>
      <c r="J9" s="11">
        <v>0.09</v>
      </c>
      <c r="K9" s="10" t="str">
        <f ca="1">IF(tblPapers[[#This Row],[Measure]]="","",IF(tblPapers[[#This Row],[Measure]]="Sheet","£ per sheet","£ per metre"))</f>
        <v>£ per sheet</v>
      </c>
      <c r="L9" t="s">
        <v>39</v>
      </c>
    </row>
    <row r="10" spans="1:14" x14ac:dyDescent="0.35">
      <c r="A10" s="5" t="s">
        <v>118</v>
      </c>
      <c r="B10" t="s">
        <v>119</v>
      </c>
      <c r="C10" t="s">
        <v>43</v>
      </c>
      <c r="D10" t="s">
        <v>50</v>
      </c>
      <c r="E10" s="10" t="str">
        <f ca="1">IF(tblPapers[[#This Row],[Family]]="","",IFERROR(INDEX(tblPaperFamilies[Measurement basis],MATCH(tblPapers[[#This Row],[Family]],tblPaperFamilies[Family],0)),"?"))</f>
        <v>Roll</v>
      </c>
      <c r="F10" t="s">
        <v>51</v>
      </c>
      <c r="H10" s="8">
        <v>610</v>
      </c>
      <c r="I10" s="8"/>
      <c r="J10" s="11">
        <v>3.1</v>
      </c>
      <c r="K10" s="10" t="str">
        <f ca="1">IF(tblPapers[[#This Row],[Measure]]="","",IF(tblPapers[[#This Row],[Measure]]="Sheet","£ per sheet","£ per metre"))</f>
        <v>£ per metre</v>
      </c>
      <c r="L10" t="s">
        <v>39</v>
      </c>
    </row>
    <row r="11" spans="1:14" x14ac:dyDescent="0.35">
      <c r="A11" s="5" t="s">
        <v>120</v>
      </c>
      <c r="B11" t="s">
        <v>121</v>
      </c>
      <c r="C11" t="s">
        <v>42</v>
      </c>
      <c r="D11" t="s">
        <v>53</v>
      </c>
      <c r="E11" s="10" t="str">
        <f ca="1">IF(tblPapers[[#This Row],[Family]]="","",IFERROR(INDEX(tblPaperFamilies[Measurement basis],MATCH(tblPapers[[#This Row],[Family]],tblPaperFamilies[Family],0)),"?"))</f>
        <v>Roll</v>
      </c>
      <c r="F11" t="s">
        <v>51</v>
      </c>
      <c r="H11" s="8">
        <v>914</v>
      </c>
      <c r="I11" s="8"/>
      <c r="J11" s="11">
        <v>8.75</v>
      </c>
      <c r="K11" s="10" t="str">
        <f ca="1">IF(tblPapers[[#This Row],[Measure]]="","",IF(tblPapers[[#This Row],[Measure]]="Sheet","£ per sheet","£ per metre"))</f>
        <v>£ per metre</v>
      </c>
      <c r="L11" t="s">
        <v>39</v>
      </c>
    </row>
    <row r="12" spans="1:14" x14ac:dyDescent="0.35">
      <c r="A12" s="5" t="s">
        <v>122</v>
      </c>
      <c r="B12" t="s">
        <v>123</v>
      </c>
      <c r="C12" t="s">
        <v>38</v>
      </c>
      <c r="D12" t="s">
        <v>53</v>
      </c>
      <c r="E12" s="10" t="str">
        <f ca="1">IF(tblPapers[[#This Row],[Family]]="","",IFERROR(INDEX(tblPaperFamilies[Measurement basis],MATCH(tblPapers[[#This Row],[Family]],tblPaperFamilies[Family],0)),"?"))</f>
        <v>Roll</v>
      </c>
      <c r="F12" t="s">
        <v>51</v>
      </c>
      <c r="H12" s="8">
        <v>1370</v>
      </c>
      <c r="I12" s="8"/>
      <c r="J12" s="11">
        <v>11.4</v>
      </c>
      <c r="K12" s="10" t="str">
        <f ca="1">IF(tblPapers[[#This Row],[Measure]]="","",IF(tblPapers[[#This Row],[Measure]]="Sheet","£ per sheet","£ per metre"))</f>
        <v>£ per metre</v>
      </c>
      <c r="L12" t="s">
        <v>39</v>
      </c>
    </row>
    <row r="13" spans="1:14" x14ac:dyDescent="0.35">
      <c r="A13" s="5" t="s">
        <v>124</v>
      </c>
      <c r="B13" t="s">
        <v>125</v>
      </c>
      <c r="C13" t="s">
        <v>41</v>
      </c>
      <c r="D13" t="s">
        <v>53</v>
      </c>
      <c r="E13" s="10" t="str">
        <f ca="1">IF(tblPapers[[#This Row],[Family]]="","",IFERROR(INDEX(tblPaperFamilies[Measurement basis],MATCH(tblPapers[[#This Row],[Family]],tblPaperFamilies[Family],0)),"?"))</f>
        <v>Roll</v>
      </c>
      <c r="F13" t="s">
        <v>51</v>
      </c>
      <c r="H13" s="8">
        <v>1067</v>
      </c>
      <c r="I13" s="8"/>
      <c r="J13" s="11">
        <v>5.6</v>
      </c>
      <c r="K13" s="10" t="str">
        <f ca="1">IF(tblPapers[[#This Row],[Measure]]="","",IF(tblPapers[[#This Row],[Measure]]="Sheet","£ per sheet","£ per metre"))</f>
        <v>£ per metre</v>
      </c>
      <c r="L13" t="s">
        <v>39</v>
      </c>
    </row>
    <row r="14" spans="1:14" x14ac:dyDescent="0.35">
      <c r="A14" s="5" t="s">
        <v>126</v>
      </c>
      <c r="B14" t="s">
        <v>127</v>
      </c>
      <c r="C14" t="s">
        <v>40</v>
      </c>
      <c r="D14" t="s">
        <v>48</v>
      </c>
      <c r="E14" s="10" t="str">
        <f ca="1">IF(tblPapers[[#This Row],[Family]]="","",IFERROR(INDEX(tblPaperFamilies[Measurement basis],MATCH(tblPapers[[#This Row],[Family]],tblPaperFamilies[Family],0)),"?"))</f>
        <v>Sheet</v>
      </c>
      <c r="F14" t="s">
        <v>128</v>
      </c>
      <c r="H14" s="8">
        <v>320</v>
      </c>
      <c r="I14" s="8">
        <v>450</v>
      </c>
      <c r="J14" s="11">
        <v>0.18</v>
      </c>
      <c r="K14" s="10" t="str">
        <f ca="1">IF(tblPapers[[#This Row],[Measure]]="","",IF(tblPapers[[#This Row],[Measure]]="Sheet","£ per sheet","£ per metre"))</f>
        <v>£ per sheet</v>
      </c>
      <c r="L14" t="s">
        <v>39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130</v>
      </c>
      <c r="B1" s="4" t="s">
        <v>131</v>
      </c>
      <c r="C1" s="4" t="s">
        <v>76</v>
      </c>
      <c r="D1" s="4" t="s">
        <v>19</v>
      </c>
      <c r="E1" s="4" t="s">
        <v>132</v>
      </c>
      <c r="F1" s="4" t="s">
        <v>133</v>
      </c>
      <c r="G1" s="4" t="s">
        <v>134</v>
      </c>
      <c r="H1" s="4" t="s">
        <v>135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136</v>
      </c>
      <c r="B1" s="4" t="s">
        <v>137</v>
      </c>
      <c r="C1" s="4" t="s">
        <v>138</v>
      </c>
      <c r="D1" s="4" t="s">
        <v>139</v>
      </c>
      <c r="E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tabSelected="1" workbookViewId="0">
      <selection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142</v>
      </c>
      <c r="B1" s="1" t="s">
        <v>224</v>
      </c>
      <c r="D1" s="3" t="s">
        <v>151</v>
      </c>
      <c r="AL1" s="19" t="s">
        <v>204</v>
      </c>
      <c r="AZ1" t="s">
        <v>150</v>
      </c>
    </row>
    <row r="2" spans="1:52" x14ac:dyDescent="0.35">
      <c r="A2" s="6" t="s">
        <v>19</v>
      </c>
      <c r="B2" s="7" t="s">
        <v>20</v>
      </c>
      <c r="D2" s="2" t="s">
        <v>152</v>
      </c>
      <c r="AL2" s="19" t="s">
        <v>143</v>
      </c>
      <c r="AM2" t="s">
        <v>144</v>
      </c>
    </row>
    <row r="3" spans="1:52" x14ac:dyDescent="0.35">
      <c r="A3" s="21"/>
      <c r="B3" s="5"/>
      <c r="D3" s="2"/>
      <c r="AL3" s="19" t="s">
        <v>145</v>
      </c>
      <c r="AM3" t="s">
        <v>146</v>
      </c>
    </row>
    <row r="4" spans="1:52" x14ac:dyDescent="0.35">
      <c r="A4" s="21"/>
      <c r="B4" s="7"/>
      <c r="AL4" s="19" t="s">
        <v>147</v>
      </c>
      <c r="AM4" t="s">
        <v>146</v>
      </c>
    </row>
    <row r="5" spans="1:52" x14ac:dyDescent="0.35">
      <c r="A5" s="21"/>
      <c r="B5" s="7"/>
      <c r="AL5" s="19" t="s">
        <v>148</v>
      </c>
      <c r="AM5" t="s">
        <v>149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206</v>
      </c>
      <c r="AM7" t="s">
        <v>223</v>
      </c>
    </row>
    <row r="8" spans="1:52" x14ac:dyDescent="0.35">
      <c r="AL8" s="20" t="s">
        <v>205</v>
      </c>
    </row>
    <row r="10" spans="1:52" x14ac:dyDescent="0.35">
      <c r="A10" s="5" t="s">
        <v>153</v>
      </c>
      <c r="C10" s="5" t="s">
        <v>154</v>
      </c>
      <c r="E10" s="5" t="s">
        <v>155</v>
      </c>
      <c r="G10" s="5" t="s">
        <v>156</v>
      </c>
      <c r="I10" s="5" t="s">
        <v>157</v>
      </c>
      <c r="K10" s="5" t="s">
        <v>158</v>
      </c>
      <c r="M10" s="2" t="s">
        <v>159</v>
      </c>
    </row>
    <row r="12" spans="1:52" ht="29" x14ac:dyDescent="0.35">
      <c r="A12" s="4" t="s">
        <v>162</v>
      </c>
      <c r="B12" s="4" t="s">
        <v>163</v>
      </c>
      <c r="C12" s="4" t="s">
        <v>164</v>
      </c>
      <c r="D12" s="4" t="s">
        <v>165</v>
      </c>
      <c r="E12" s="4" t="s">
        <v>166</v>
      </c>
      <c r="F12" s="4" t="s">
        <v>167</v>
      </c>
      <c r="G12" s="4" t="s">
        <v>168</v>
      </c>
      <c r="H12" s="4" t="s">
        <v>169</v>
      </c>
      <c r="I12" s="4" t="s">
        <v>170</v>
      </c>
      <c r="J12" s="4" t="s">
        <v>171</v>
      </c>
      <c r="K12" s="4" t="s">
        <v>172</v>
      </c>
      <c r="L12" s="4" t="s">
        <v>173</v>
      </c>
      <c r="M12" s="4" t="s">
        <v>174</v>
      </c>
      <c r="N12" s="4" t="s">
        <v>175</v>
      </c>
      <c r="O12" s="4" t="s">
        <v>176</v>
      </c>
      <c r="P12" s="4" t="s">
        <v>177</v>
      </c>
      <c r="Q12" s="4" t="s">
        <v>178</v>
      </c>
      <c r="R12" s="4" t="s">
        <v>160</v>
      </c>
      <c r="S12" s="4" t="s">
        <v>161</v>
      </c>
      <c r="T12" s="4" t="s">
        <v>6</v>
      </c>
      <c r="U12" s="4" t="s">
        <v>179</v>
      </c>
      <c r="V12" s="4" t="s">
        <v>180</v>
      </c>
      <c r="W12" s="4" t="s">
        <v>181</v>
      </c>
      <c r="X12" s="4" t="s">
        <v>182</v>
      </c>
      <c r="Y12" s="4" t="s">
        <v>183</v>
      </c>
      <c r="Z12" s="4" t="s">
        <v>184</v>
      </c>
      <c r="AA12" s="4" t="s">
        <v>185</v>
      </c>
      <c r="AB12" s="4" t="s">
        <v>186</v>
      </c>
      <c r="AC12" s="4" t="s">
        <v>187</v>
      </c>
      <c r="AD12" s="4" t="s">
        <v>188</v>
      </c>
      <c r="AE12" s="4" t="s">
        <v>189</v>
      </c>
      <c r="AF12" s="4" t="s">
        <v>190</v>
      </c>
      <c r="AG12" s="4" t="s">
        <v>191</v>
      </c>
    </row>
    <row r="13" spans="1:52" x14ac:dyDescent="0.35">
      <c r="A13" s="12">
        <v>46280.425000000003</v>
      </c>
      <c r="B13" s="13" t="s">
        <v>193</v>
      </c>
      <c r="C13" s="13">
        <v>2201884</v>
      </c>
      <c r="D13" s="13" t="s">
        <v>78</v>
      </c>
      <c r="E13" s="13" t="s">
        <v>96</v>
      </c>
      <c r="F13" s="13" t="s">
        <v>115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146</v>
      </c>
      <c r="K13" s="13" t="s">
        <v>146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 ca="1">IF(tblJobs_MAIN[[#This Row],[Quantity]]="","",ROUND(tblJobs_MAIN[[#This Row],[Quantity]]*tblJobs_MAIN[[#This Row],[S_UnitCost]],SET_ROUND_DP))</f>
        <v>31</v>
      </c>
      <c r="N13" s="16">
        <f ca="1">IF(tblJobs_MAIN[[#This Row],[Area m2]]="","",ROUND(tblJobs_MAIN[[#This Row],[Area m2]]*tblJobs_MAIN[[#This Row],[S_ConsRate]],SET_ROUND_DP))</f>
        <v>13.68</v>
      </c>
      <c r="O13" s="16">
        <f ca="1">IF(tblJobs_MAIN[[#This Row],[Paper Cost]]="","",tblJobs_MAIN[[#This Row],[Paper Cost]]+tblJobs_MAIN[[#This Row],[Consumable Cost]])</f>
        <v>44.68</v>
      </c>
      <c r="P13" s="16">
        <f ca="1">IF(tblJobs_MAIN[[#This Row],[Gross Cost]]="","",tblJobs_MAIN[[#This Row],[Gross Cost]]-tblJobs_MAIN[[#This Row],[Chargeable Cost]])</f>
        <v>0</v>
      </c>
      <c r="Q13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192</v>
      </c>
      <c r="T13" s="13" t="s">
        <v>194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95</v>
      </c>
      <c r="W13" s="17" t="s">
        <v>114</v>
      </c>
      <c r="X13" s="17" t="s">
        <v>77</v>
      </c>
      <c r="Y13" s="17" t="s">
        <v>48</v>
      </c>
      <c r="Z13" s="17" t="s">
        <v>48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195</v>
      </c>
      <c r="AG13" s="17">
        <v>1</v>
      </c>
    </row>
    <row r="14" spans="1:52" x14ac:dyDescent="0.35">
      <c r="A14" s="12">
        <v>46280.611111111109</v>
      </c>
      <c r="B14" s="13" t="s">
        <v>193</v>
      </c>
      <c r="C14" s="13">
        <v>2201884</v>
      </c>
      <c r="D14" s="13" t="s">
        <v>80</v>
      </c>
      <c r="E14" s="13" t="s">
        <v>91</v>
      </c>
      <c r="F14" s="13" t="s">
        <v>121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146</v>
      </c>
      <c r="K14" s="13" t="s">
        <v>146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 ca="1">IF(tblJobs_MAIN[[#This Row],[Quantity]]="","",ROUND(tblJobs_MAIN[[#This Row],[Quantity]]*tblJobs_MAIN[[#This Row],[S_UnitCost]],SET_ROUND_DP))</f>
        <v>105</v>
      </c>
      <c r="N14" s="16">
        <f ca="1">IF(tblJobs_MAIN[[#This Row],[Area m2]]="","",ROUND(tblJobs_MAIN[[#This Row],[Area m2]]*tblJobs_MAIN[[#This Row],[S_ConsRate]],SET_ROUND_DP))</f>
        <v>31.26</v>
      </c>
      <c r="O14" s="16">
        <f ca="1">IF(tblJobs_MAIN[[#This Row],[Paper Cost]]="","",tblJobs_MAIN[[#This Row],[Paper Cost]]+tblJobs_MAIN[[#This Row],[Consumable Cost]])</f>
        <v>136.26</v>
      </c>
      <c r="P14" s="16">
        <f ca="1">IF(tblJobs_MAIN[[#This Row],[Gross Cost]]="","",tblJobs_MAIN[[#This Row],[Gross Cost]]-tblJobs_MAIN[[#This Row],[Chargeable Cost]])</f>
        <v>0</v>
      </c>
      <c r="Q14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196</v>
      </c>
      <c r="T14" s="13" t="s">
        <v>197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90</v>
      </c>
      <c r="W14" s="17" t="s">
        <v>120</v>
      </c>
      <c r="X14" s="17" t="s">
        <v>79</v>
      </c>
      <c r="Y14" s="17" t="s">
        <v>53</v>
      </c>
      <c r="Z14" s="17" t="s">
        <v>51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195</v>
      </c>
      <c r="AG14" s="17">
        <v>1</v>
      </c>
    </row>
    <row r="15" spans="1:52" x14ac:dyDescent="0.35">
      <c r="A15" s="12">
        <v>46281.461805555555</v>
      </c>
      <c r="B15" s="13" t="s">
        <v>199</v>
      </c>
      <c r="C15" s="13">
        <v>2203110</v>
      </c>
      <c r="D15" s="13" t="s">
        <v>80</v>
      </c>
      <c r="E15" s="13" t="s">
        <v>91</v>
      </c>
      <c r="F15" s="13" t="s">
        <v>121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146</v>
      </c>
      <c r="K15" s="13" t="s">
        <v>146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 ca="1">IF(tblJobs_MAIN[[#This Row],[Quantity]]="","",ROUND(tblJobs_MAIN[[#This Row],[Quantity]]*tblJobs_MAIN[[#This Row],[S_UnitCost]],SET_ROUND_DP))</f>
        <v>105</v>
      </c>
      <c r="N15" s="16">
        <f ca="1">IF(tblJobs_MAIN[[#This Row],[Area m2]]="","",ROUND(tblJobs_MAIN[[#This Row],[Area m2]]*tblJobs_MAIN[[#This Row],[S_ConsRate]],SET_ROUND_DP))</f>
        <v>20.52</v>
      </c>
      <c r="O15" s="16">
        <f ca="1">IF(tblJobs_MAIN[[#This Row],[Paper Cost]]="","",tblJobs_MAIN[[#This Row],[Paper Cost]]+tblJobs_MAIN[[#This Row],[Consumable Cost]])</f>
        <v>125.52</v>
      </c>
      <c r="P15" s="16">
        <f ca="1">IF(tblJobs_MAIN[[#This Row],[Gross Cost]]="","",tblJobs_MAIN[[#This Row],[Gross Cost]]-tblJobs_MAIN[[#This Row],[Chargeable Cost]])</f>
        <v>0</v>
      </c>
      <c r="Q15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198</v>
      </c>
      <c r="T15" s="13" t="s">
        <v>200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90</v>
      </c>
      <c r="W15" s="17" t="s">
        <v>120</v>
      </c>
      <c r="X15" s="17" t="s">
        <v>79</v>
      </c>
      <c r="Y15" s="17" t="s">
        <v>53</v>
      </c>
      <c r="Z15" s="17" t="s">
        <v>51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195</v>
      </c>
      <c r="AG15" s="17">
        <v>1</v>
      </c>
    </row>
    <row r="16" spans="1:52" x14ac:dyDescent="0.35">
      <c r="A16" s="12">
        <v>46281.638888888891</v>
      </c>
      <c r="B16" s="13" t="s">
        <v>199</v>
      </c>
      <c r="C16" s="13">
        <v>2203110</v>
      </c>
      <c r="D16" s="13" t="s">
        <v>78</v>
      </c>
      <c r="E16" s="13" t="s">
        <v>91</v>
      </c>
      <c r="F16" s="13" t="s">
        <v>119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39</v>
      </c>
      <c r="K16" s="13" t="s">
        <v>146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 ca="1">IF(tblJobs_MAIN[[#This Row],[Quantity]]="","",ROUND(tblJobs_MAIN[[#This Row],[Quantity]]*tblJobs_MAIN[[#This Row],[S_UnitCost]],SET_ROUND_DP))</f>
        <v>15.5</v>
      </c>
      <c r="N16" s="16">
        <f ca="1">IF(tblJobs_MAIN[[#This Row],[Area m2]]="","",ROUND(tblJobs_MAIN[[#This Row],[Area m2]]*tblJobs_MAIN[[#This Row],[S_ConsRate]],SET_ROUND_DP))</f>
        <v>8.69</v>
      </c>
      <c r="O16" s="16">
        <f ca="1">IF(tblJobs_MAIN[[#This Row],[Paper Cost]]="","",tblJobs_MAIN[[#This Row],[Paper Cost]]+tblJobs_MAIN[[#This Row],[Consumable Cost]])</f>
        <v>24.189999999999998</v>
      </c>
      <c r="P16" s="16">
        <f ca="1">IF(tblJobs_MAIN[[#This Row],[Gross Cost]]="","",tblJobs_MAIN[[#This Row],[Gross Cost]]-tblJobs_MAIN[[#This Row],[Chargeable Cost]])</f>
        <v>15.499999999999998</v>
      </c>
      <c r="Q16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201</v>
      </c>
      <c r="T16" s="13" t="s">
        <v>202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90</v>
      </c>
      <c r="W16" s="17" t="s">
        <v>118</v>
      </c>
      <c r="X16" s="17" t="s">
        <v>77</v>
      </c>
      <c r="Y16" s="17" t="s">
        <v>50</v>
      </c>
      <c r="Z16" s="17" t="s">
        <v>51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195</v>
      </c>
      <c r="AG16" s="17">
        <v>1</v>
      </c>
    </row>
    <row r="17" spans="1:33" x14ac:dyDescent="0.35">
      <c r="A17" s="12">
        <v>46282.381944444445</v>
      </c>
      <c r="B17" s="13" t="s">
        <v>207</v>
      </c>
      <c r="C17" s="13">
        <v>2204521</v>
      </c>
      <c r="D17" s="13" t="s">
        <v>82</v>
      </c>
      <c r="E17" s="13" t="s">
        <v>96</v>
      </c>
      <c r="F17" s="13" t="s">
        <v>117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146</v>
      </c>
      <c r="K17" s="13" t="s">
        <v>39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 ca="1">IF(tblJobs_MAIN[[#This Row],[Quantity]]="","",ROUND(tblJobs_MAIN[[#This Row],[Quantity]]*tblJobs_MAIN[[#This Row],[S_UnitCost]],SET_ROUND_DP))</f>
        <v>2.25</v>
      </c>
      <c r="N17" s="16">
        <f ca="1">IF(tblJobs_MAIN[[#This Row],[Area m2]]="","",ROUND(tblJobs_MAIN[[#This Row],[Area m2]]*tblJobs_MAIN[[#This Row],[S_ConsRate]],SET_ROUND_DP))</f>
        <v>2.96</v>
      </c>
      <c r="O17" s="16">
        <f ca="1">IF(tblJobs_MAIN[[#This Row],[Paper Cost]]="","",tblJobs_MAIN[[#This Row],[Paper Cost]]+tblJobs_MAIN[[#This Row],[Consumable Cost]])</f>
        <v>5.21</v>
      </c>
      <c r="P17" s="16">
        <f ca="1">IF(tblJobs_MAIN[[#This Row],[Gross Cost]]="","",tblJobs_MAIN[[#This Row],[Gross Cost]]-tblJobs_MAIN[[#This Row],[Chargeable Cost]])</f>
        <v>2.96</v>
      </c>
      <c r="Q17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203</v>
      </c>
      <c r="T17" s="13" t="s">
        <v>208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95</v>
      </c>
      <c r="W17" s="17" t="s">
        <v>116</v>
      </c>
      <c r="X17" s="17" t="s">
        <v>81</v>
      </c>
      <c r="Y17" s="17" t="s">
        <v>48</v>
      </c>
      <c r="Z17" s="17" t="s">
        <v>48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195</v>
      </c>
      <c r="AG17" s="17">
        <v>1</v>
      </c>
    </row>
    <row r="18" spans="1:33" x14ac:dyDescent="0.35">
      <c r="A18" s="12">
        <v>46282.559027777781</v>
      </c>
      <c r="B18" s="12" t="s">
        <v>207</v>
      </c>
      <c r="C18" s="13">
        <v>2204521</v>
      </c>
      <c r="D18" s="13" t="s">
        <v>82</v>
      </c>
      <c r="E18" s="13" t="s">
        <v>96</v>
      </c>
      <c r="F18" s="13" t="s">
        <v>127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3" t="s">
        <v>146</v>
      </c>
      <c r="K18" s="13" t="s">
        <v>146</v>
      </c>
      <c r="L18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 ca="1">IF(tblJobs_MAIN[[#This Row],[Quantity]]="","",ROUND(tblJobs_MAIN[[#This Row],[Quantity]]*tblJobs_MAIN[[#This Row],[S_UnitCost]],SET_ROUND_DP))</f>
        <v>2.7</v>
      </c>
      <c r="N18" s="16">
        <f ca="1">IF(tblJobs_MAIN[[#This Row],[Area m2]]="","",ROUND(tblJobs_MAIN[[#This Row],[Area m2]]*tblJobs_MAIN[[#This Row],[S_ConsRate]],SET_ROUND_DP))</f>
        <v>2.0499999999999998</v>
      </c>
      <c r="O18" s="16">
        <f ca="1">IF(tblJobs_MAIN[[#This Row],[Paper Cost]]="","",tblJobs_MAIN[[#This Row],[Paper Cost]]+tblJobs_MAIN[[#This Row],[Consumable Cost]])</f>
        <v>4.75</v>
      </c>
      <c r="P18" s="16">
        <f ca="1">IF(tblJobs_MAIN[[#This Row],[Gross Cost]]="","",tblJobs_MAIN[[#This Row],[Gross Cost]]-tblJobs_MAIN[[#This Row],[Chargeable Cost]])</f>
        <v>0</v>
      </c>
      <c r="Q18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210</v>
      </c>
      <c r="T18" s="13" t="s">
        <v>209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95</v>
      </c>
      <c r="W18" s="17" t="s">
        <v>126</v>
      </c>
      <c r="X18" s="17" t="s">
        <v>81</v>
      </c>
      <c r="Y18" s="17" t="s">
        <v>48</v>
      </c>
      <c r="Z18" s="17" t="s">
        <v>48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195</v>
      </c>
      <c r="AG18" s="17">
        <v>1</v>
      </c>
    </row>
    <row r="19" spans="1:33" x14ac:dyDescent="0.35">
      <c r="A19" s="12">
        <v>46282.666666666664</v>
      </c>
      <c r="B19" s="12" t="s">
        <v>207</v>
      </c>
      <c r="C19" s="13">
        <v>2204521</v>
      </c>
      <c r="D19" s="13" t="s">
        <v>80</v>
      </c>
      <c r="E19" s="13" t="s">
        <v>98</v>
      </c>
      <c r="F19" s="13" t="s">
        <v>123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3" t="s">
        <v>146</v>
      </c>
      <c r="K19" s="13" t="s">
        <v>146</v>
      </c>
      <c r="L19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 ca="1">IF(tblJobs_MAIN[[#This Row],[Quantity]]="","",ROUND(tblJobs_MAIN[[#This Row],[Quantity]]*tblJobs_MAIN[[#This Row],[S_UnitCost]],SET_ROUND_DP))</f>
        <v>91.2</v>
      </c>
      <c r="N19" s="16">
        <f ca="1">IF(tblJobs_MAIN[[#This Row],[Area m2]]="","",ROUND(tblJobs_MAIN[[#This Row],[Area m2]]*tblJobs_MAIN[[#This Row],[S_ConsRate]],SET_ROUND_DP))</f>
        <v>19.18</v>
      </c>
      <c r="O19" s="16">
        <f ca="1">IF(tblJobs_MAIN[[#This Row],[Paper Cost]]="","",tblJobs_MAIN[[#This Row],[Paper Cost]]+tblJobs_MAIN[[#This Row],[Consumable Cost]])</f>
        <v>110.38</v>
      </c>
      <c r="P19" s="16">
        <f ca="1">IF(tblJobs_MAIN[[#This Row],[Gross Cost]]="","",tblJobs_MAIN[[#This Row],[Gross Cost]]-tblJobs_MAIN[[#This Row],[Chargeable Cost]])</f>
        <v>0</v>
      </c>
      <c r="Q19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212</v>
      </c>
      <c r="T19" s="13" t="s">
        <v>211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97</v>
      </c>
      <c r="W19" s="17" t="s">
        <v>122</v>
      </c>
      <c r="X19" s="17" t="s">
        <v>79</v>
      </c>
      <c r="Y19" s="17" t="s">
        <v>53</v>
      </c>
      <c r="Z19" s="17" t="s">
        <v>51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195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78</v>
      </c>
      <c r="E20" s="13" t="s">
        <v>94</v>
      </c>
      <c r="F20" s="13" t="s">
        <v>119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3" t="s">
        <v>146</v>
      </c>
      <c r="K20" s="13" t="s">
        <v>146</v>
      </c>
      <c r="L20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 ca="1">IF(tblJobs_MAIN[[#This Row],[Quantity]]="","",ROUND(tblJobs_MAIN[[#This Row],[Quantity]]*tblJobs_MAIN[[#This Row],[S_UnitCost]],SET_ROUND_DP))</f>
        <v>9.3000000000000007</v>
      </c>
      <c r="N20" s="16">
        <f ca="1">IF(tblJobs_MAIN[[#This Row],[Area m2]]="","",ROUND(tblJobs_MAIN[[#This Row],[Area m2]]*tblJobs_MAIN[[#This Row],[S_ConsRate]],SET_ROUND_DP))</f>
        <v>4.3899999999999997</v>
      </c>
      <c r="O20" s="16">
        <f ca="1">IF(tblJobs_MAIN[[#This Row],[Paper Cost]]="","",tblJobs_MAIN[[#This Row],[Paper Cost]]+tblJobs_MAIN[[#This Row],[Consumable Cost]])</f>
        <v>13.690000000000001</v>
      </c>
      <c r="P20" s="16">
        <f ca="1">IF(tblJobs_MAIN[[#This Row],[Gross Cost]]="","",tblJobs_MAIN[[#This Row],[Gross Cost]]-tblJobs_MAIN[[#This Row],[Chargeable Cost]])</f>
        <v>0</v>
      </c>
      <c r="Q20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214</v>
      </c>
      <c r="T20" s="13" t="s">
        <v>213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93</v>
      </c>
      <c r="W20" s="17" t="s">
        <v>118</v>
      </c>
      <c r="X20" s="17" t="s">
        <v>77</v>
      </c>
      <c r="Y20" s="17" t="s">
        <v>50</v>
      </c>
      <c r="Z20" s="17" t="s">
        <v>51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195</v>
      </c>
      <c r="AG20" s="17">
        <v>1</v>
      </c>
    </row>
    <row r="21" spans="1:33" x14ac:dyDescent="0.35">
      <c r="A21" s="12">
        <v>46283.486111111109</v>
      </c>
      <c r="B21" s="12" t="s">
        <v>83</v>
      </c>
      <c r="C21" s="13"/>
      <c r="D21" s="13" t="s">
        <v>82</v>
      </c>
      <c r="E21" s="13" t="s">
        <v>96</v>
      </c>
      <c r="F21" s="13" t="s">
        <v>113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3" t="s">
        <v>146</v>
      </c>
      <c r="K21" s="13" t="s">
        <v>146</v>
      </c>
      <c r="L21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 ca="1">IF(tblJobs_MAIN[[#This Row],[Quantity]]="","",ROUND(tblJobs_MAIN[[#This Row],[Quantity]]*tblJobs_MAIN[[#This Row],[S_UnitCost]],SET_ROUND_DP))</f>
        <v>7.2</v>
      </c>
      <c r="N21" s="16">
        <f ca="1">IF(tblJobs_MAIN[[#This Row],[Area m2]]="","",ROUND(tblJobs_MAIN[[#This Row],[Area m2]]*tblJobs_MAIN[[#This Row],[S_ConsRate]],SET_ROUND_DP))</f>
        <v>7.11</v>
      </c>
      <c r="O21" s="16">
        <f ca="1">IF(tblJobs_MAIN[[#This Row],[Paper Cost]]="","",tblJobs_MAIN[[#This Row],[Paper Cost]]+tblJobs_MAIN[[#This Row],[Consumable Cost]])</f>
        <v>14.31</v>
      </c>
      <c r="P21" s="16">
        <f ca="1">IF(tblJobs_MAIN[[#This Row],[Gross Cost]]="","",tblJobs_MAIN[[#This Row],[Gross Cost]]-tblJobs_MAIN[[#This Row],[Chargeable Cost]])</f>
        <v>0</v>
      </c>
      <c r="Q21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216</v>
      </c>
      <c r="T21" s="13" t="s">
        <v>215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95</v>
      </c>
      <c r="W21" s="17" t="s">
        <v>112</v>
      </c>
      <c r="X21" s="17" t="s">
        <v>81</v>
      </c>
      <c r="Y21" s="17" t="s">
        <v>48</v>
      </c>
      <c r="Z21" s="17" t="s">
        <v>48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195</v>
      </c>
      <c r="AG21" s="17">
        <v>1</v>
      </c>
    </row>
    <row r="22" spans="1:33" x14ac:dyDescent="0.35">
      <c r="A22" s="12">
        <v>46283.638888888891</v>
      </c>
      <c r="B22" s="12" t="s">
        <v>207</v>
      </c>
      <c r="C22" s="13">
        <v>2204521</v>
      </c>
      <c r="D22" s="13" t="s">
        <v>80</v>
      </c>
      <c r="E22" s="13" t="s">
        <v>91</v>
      </c>
      <c r="F22" s="13" t="s">
        <v>125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3" t="s">
        <v>146</v>
      </c>
      <c r="K22" s="13" t="s">
        <v>146</v>
      </c>
      <c r="L22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 ca="1">IF(tblJobs_MAIN[[#This Row],[Quantity]]="","",ROUND(tblJobs_MAIN[[#This Row],[Quantity]]*tblJobs_MAIN[[#This Row],[S_UnitCost]],SET_ROUND_DP))</f>
        <v>112</v>
      </c>
      <c r="N22" s="16">
        <f ca="1">IF(tblJobs_MAIN[[#This Row],[Area m2]]="","",ROUND(tblJobs_MAIN[[#This Row],[Area m2]]*tblJobs_MAIN[[#This Row],[S_ConsRate]],SET_ROUND_DP))</f>
        <v>60.82</v>
      </c>
      <c r="O22" s="16">
        <f ca="1">IF(tblJobs_MAIN[[#This Row],[Paper Cost]]="","",tblJobs_MAIN[[#This Row],[Paper Cost]]+tblJobs_MAIN[[#This Row],[Consumable Cost]])</f>
        <v>172.82</v>
      </c>
      <c r="P22" s="16">
        <f ca="1">IF(tblJobs_MAIN[[#This Row],[Gross Cost]]="","",tblJobs_MAIN[[#This Row],[Gross Cost]]-tblJobs_MAIN[[#This Row],[Chargeable Cost]])</f>
        <v>0</v>
      </c>
      <c r="Q22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218</v>
      </c>
      <c r="T22" s="13" t="s">
        <v>217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90</v>
      </c>
      <c r="W22" s="17" t="s">
        <v>124</v>
      </c>
      <c r="X22" s="17" t="s">
        <v>79</v>
      </c>
      <c r="Y22" s="17" t="s">
        <v>53</v>
      </c>
      <c r="Z22" s="17" t="s">
        <v>51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195</v>
      </c>
      <c r="AG22" s="17">
        <v>1</v>
      </c>
    </row>
    <row r="23" spans="1:33" x14ac:dyDescent="0.35">
      <c r="A23" s="12">
        <v>46284.34375</v>
      </c>
      <c r="B23" s="12" t="s">
        <v>199</v>
      </c>
      <c r="C23" s="13">
        <v>2203110</v>
      </c>
      <c r="D23" s="13" t="s">
        <v>78</v>
      </c>
      <c r="E23" s="13" t="s">
        <v>96</v>
      </c>
      <c r="F23" s="13" t="s">
        <v>110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3" t="s">
        <v>146</v>
      </c>
      <c r="K23" s="13" t="s">
        <v>146</v>
      </c>
      <c r="L23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 ca="1">IF(tblJobs_MAIN[[#This Row],[Quantity]]="","",ROUND(tblJobs_MAIN[[#This Row],[Quantity]]*tblJobs_MAIN[[#This Row],[S_UnitCost]],SET_ROUND_DP))</f>
        <v>16.8</v>
      </c>
      <c r="N23" s="16">
        <f ca="1">IF(tblJobs_MAIN[[#This Row],[Area m2]]="","",ROUND(tblJobs_MAIN[[#This Row],[Area m2]]*tblJobs_MAIN[[#This Row],[S_ConsRate]],SET_ROUND_DP))</f>
        <v>18.98</v>
      </c>
      <c r="O23" s="16">
        <f ca="1">IF(tblJobs_MAIN[[#This Row],[Paper Cost]]="","",tblJobs_MAIN[[#This Row],[Paper Cost]]+tblJobs_MAIN[[#This Row],[Consumable Cost]])</f>
        <v>35.78</v>
      </c>
      <c r="P23" s="16">
        <f ca="1">IF(tblJobs_MAIN[[#This Row],[Gross Cost]]="","",tblJobs_MAIN[[#This Row],[Gross Cost]]-tblJobs_MAIN[[#This Row],[Chargeable Cost]])</f>
        <v>0</v>
      </c>
      <c r="Q23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220</v>
      </c>
      <c r="T23" s="13" t="s">
        <v>222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95</v>
      </c>
      <c r="W23" s="17" t="s">
        <v>109</v>
      </c>
      <c r="X23" s="17" t="s">
        <v>77</v>
      </c>
      <c r="Y23" s="17" t="s">
        <v>48</v>
      </c>
      <c r="Z23" s="17" t="s">
        <v>48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195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78</v>
      </c>
      <c r="E24" s="13" t="s">
        <v>91</v>
      </c>
      <c r="F24" s="13" t="s">
        <v>121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3" t="s">
        <v>146</v>
      </c>
      <c r="K24" s="13" t="s">
        <v>146</v>
      </c>
      <c r="L24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 ca="1">IF(tblJobs_MAIN[[#This Row],[Quantity]]="","",ROUND(tblJobs_MAIN[[#This Row],[Quantity]]*tblJobs_MAIN[[#This Row],[S_UnitCost]],SET_ROUND_DP))</f>
        <v>105</v>
      </c>
      <c r="N24" s="16">
        <f ca="1">IF(tblJobs_MAIN[[#This Row],[Area m2]]="","",ROUND(tblJobs_MAIN[[#This Row],[Area m2]]*tblJobs_MAIN[[#This Row],[S_ConsRate]],SET_ROUND_DP))</f>
        <v>41.04</v>
      </c>
      <c r="O24" s="16">
        <f ca="1">IF(tblJobs_MAIN[[#This Row],[Paper Cost]]="","",tblJobs_MAIN[[#This Row],[Paper Cost]]+tblJobs_MAIN[[#This Row],[Consumable Cost]])</f>
        <v>146.04</v>
      </c>
      <c r="P24" s="16">
        <f ca="1">IF(tblJobs_MAIN[[#This Row],[Gross Cost]]="","",tblJobs_MAIN[[#This Row],[Gross Cost]]-tblJobs_MAIN[[#This Row],[Chargeable Cost]])</f>
        <v>0</v>
      </c>
      <c r="Q24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221</v>
      </c>
      <c r="T24" s="13" t="s">
        <v>219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90</v>
      </c>
      <c r="W24" s="17" t="s">
        <v>120</v>
      </c>
      <c r="X24" s="17" t="s">
        <v>77</v>
      </c>
      <c r="Y24" s="17" t="s">
        <v>53</v>
      </c>
      <c r="Z24" s="17" t="s">
        <v>51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195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22</vt:i4>
      </vt:variant>
    </vt:vector>
  </HeadingPairs>
  <TitlesOfParts>
    <vt:vector size="27" baseType="lpstr">
      <vt:lpstr>Settings</vt:lpstr>
      <vt:lpstr>Print Technicians</vt:lpstr>
      <vt:lpstr>Printers</vt:lpstr>
      <vt:lpstr>Papers</vt:lpstr>
      <vt:lpstr>Example Print Room</vt:lpstr>
      <vt:lpstr>'Example Print Room'!LOC_Code</vt:lpstr>
      <vt:lpstr>'Example Print Room'!LOC_DefDisCons</vt:lpstr>
      <vt:lpstr>'Example Print Room'!LOC_DefDisPaper</vt:lpstr>
      <vt:lpstr>'Example Print Room'!LOC_Dept</vt:lpstr>
      <vt:lpstr>'Example Print Room'!LOC_Name</vt:lpstr>
      <vt:lpstr>'Example Print Room'!LOC_Printers</vt:lpstr>
      <vt:lpstr>'Example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2026-09-28T19:28:20Z</dcterms:modified>
</cp:coreProperties>
</file>