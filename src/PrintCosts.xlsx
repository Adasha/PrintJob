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freeze-work\"/>
    </mc:Choice>
  </mc:AlternateContent>
  <xr:revisionPtr revIDLastSave="0" documentId="8_{8E5A16E1-AEFC-4B48-93EE-012C94BF77B1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Room'!$AM$2</definedName>
    <definedName name="LOC_DefDisCons" localSheetId="0">'Example Print Room'!$AM$4</definedName>
    <definedName name="LOC_DefDisPaper" localSheetId="0">'Example Print Room'!$AM$3</definedName>
    <definedName name="LOC_DefPaper" localSheetId="0">'Example Print Room'!$B$5</definedName>
    <definedName name="LOC_DefPrinter" localSheetId="0">'Example Print Room'!$B$4</definedName>
    <definedName name="LOC_DefTech" localSheetId="0">'Example Print Room'!$B$3</definedName>
    <definedName name="LOC_Dept" localSheetId="0">'Example Print Room'!$B$2</definedName>
    <definedName name="LOC_Export" localSheetId="0">'Example Print Room'!$AM$6</definedName>
    <definedName name="LOC_Name" localSheetId="0">'Example Print Room'!$B$1</definedName>
    <definedName name="LOC_Printers" localSheetId="0">'Example Print Room'!$AM$7</definedName>
    <definedName name="LOC_RollUnit" localSheetId="0">'Example Print Room'!$B$6</definedName>
    <definedName name="LOC_Status" localSheetId="0">'Example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Settings!$C$14</definedName>
    <definedName name="SET_BUILT">Settings!$C$15</definedName>
    <definedName name="SET_BUILT_BY">Settings!$C$16</definedName>
    <definedName name="SET_COST_COLS_HIDDEN">Settings!$C$20</definedName>
    <definedName name="SET_CURRENCY">Settings!$C$10</definedName>
    <definedName name="SET_DEPT">Settings!$C$9</definedName>
    <definedName name="SET_EXPORT_FOLDER">Settings!$C$17</definedName>
    <definedName name="SET_LASTREF">Settings!$C$13</definedName>
    <definedName name="SET_LOC_REDUCED_COLUMNS">Settings!$C$19</definedName>
    <definedName name="SET_LOC_REDUCED_VIEW">Settings!$C$18</definedName>
    <definedName name="SET_ORG">Settings!$C$8</definedName>
    <definedName name="SET_ROUND_DP">Settings!$C$11</definedName>
    <definedName name="SET_SCHEMA">Settings!$C$12</definedName>
    <definedName name="SET_SITE_ID">Settings!$C$6</definedName>
    <definedName name="SET_SITE_NAME">Settings!$C$7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10" l="1"/>
  <c r="W15" i="10"/>
  <c r="W16" i="10"/>
  <c r="T16" i="10" s="1"/>
  <c r="W17" i="10"/>
  <c r="T17" i="10" s="1"/>
  <c r="W18" i="10"/>
  <c r="T18" i="10" s="1"/>
  <c r="W19" i="10"/>
  <c r="T19" i="10" s="1"/>
  <c r="W20" i="10"/>
  <c r="T20" i="10" s="1"/>
  <c r="W21" i="10"/>
  <c r="T21" i="10" s="1"/>
  <c r="W22" i="10"/>
  <c r="T22" i="10" s="1"/>
  <c r="W23" i="10"/>
  <c r="T23" i="10" s="1"/>
  <c r="W24" i="10"/>
  <c r="T24" i="10" s="1"/>
  <c r="W25" i="10"/>
  <c r="T25" i="10" s="1"/>
  <c r="B8" i="10"/>
  <c r="B7" i="10"/>
  <c r="E17" i="4"/>
  <c r="K17" i="4" s="1"/>
  <c r="E16" i="4"/>
  <c r="K16" i="4" s="1"/>
  <c r="G25" i="10"/>
  <c r="M25" i="10"/>
  <c r="O25" i="10" s="1"/>
  <c r="N25" i="10"/>
  <c r="G24" i="10"/>
  <c r="M24" i="10"/>
  <c r="O24" i="10" s="1"/>
  <c r="N24" i="10"/>
  <c r="G23" i="10"/>
  <c r="M23" i="10"/>
  <c r="O23" i="10" s="1"/>
  <c r="N23" i="10"/>
  <c r="G22" i="10"/>
  <c r="M22" i="10"/>
  <c r="O22" i="10" s="1"/>
  <c r="N22" i="10"/>
  <c r="G21" i="10"/>
  <c r="M21" i="10"/>
  <c r="O21" i="10" s="1"/>
  <c r="N21" i="10"/>
  <c r="G20" i="10"/>
  <c r="M20" i="10"/>
  <c r="O20" i="10" s="1"/>
  <c r="N20" i="10"/>
  <c r="G19" i="10"/>
  <c r="M19" i="10"/>
  <c r="O19" i="10" s="1"/>
  <c r="N19" i="10"/>
  <c r="N18" i="10"/>
  <c r="M18" i="10"/>
  <c r="O18" i="10" s="1"/>
  <c r="G18" i="10"/>
  <c r="N17" i="10"/>
  <c r="M17" i="10"/>
  <c r="O17" i="10" s="1"/>
  <c r="G17" i="10"/>
  <c r="N16" i="10"/>
  <c r="M16" i="10"/>
  <c r="O16" i="10" s="1"/>
  <c r="G16" i="10"/>
  <c r="T15" i="10"/>
  <c r="N15" i="10"/>
  <c r="M15" i="10"/>
  <c r="O15" i="10" s="1"/>
  <c r="G15" i="10"/>
  <c r="T14" i="10"/>
  <c r="N14" i="10"/>
  <c r="M14" i="10"/>
  <c r="O14" i="10" s="1"/>
  <c r="G14" i="10"/>
  <c r="E15" i="4"/>
  <c r="K15" i="4" s="1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P25" i="10" l="1"/>
  <c r="R25" i="10"/>
  <c r="P24" i="10"/>
  <c r="P23" i="10"/>
  <c r="R23" i="10"/>
  <c r="Q23" i="10" s="1"/>
  <c r="P22" i="10"/>
  <c r="P21" i="10"/>
  <c r="P20" i="10"/>
  <c r="P19" i="10"/>
  <c r="P14" i="10"/>
  <c r="R24" i="10"/>
  <c r="Q24" i="10" s="1"/>
  <c r="R22" i="10"/>
  <c r="R21" i="10"/>
  <c r="Q21" i="10" s="1"/>
  <c r="R20" i="10"/>
  <c r="R19" i="10"/>
  <c r="Q19" i="10" s="1"/>
  <c r="R18" i="10"/>
  <c r="R16" i="10"/>
  <c r="R15" i="10"/>
  <c r="R17" i="10"/>
  <c r="P18" i="10"/>
  <c r="P16" i="10"/>
  <c r="P15" i="10"/>
  <c r="R14" i="10"/>
  <c r="P17" i="10"/>
  <c r="Q25" i="10" l="1"/>
  <c r="Q22" i="10"/>
  <c r="Q20" i="10"/>
  <c r="Q18" i="10"/>
  <c r="Q14" i="10"/>
  <c r="Q17" i="10"/>
  <c r="Q16" i="10"/>
  <c r="Q15" i="10"/>
</calcChain>
</file>

<file path=xl/sharedStrings.xml><?xml version="1.0" encoding="utf-8"?>
<sst xmlns="http://schemas.openxmlformats.org/spreadsheetml/2006/main" count="499" uniqueCount="260">
  <si>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</si>
  <si>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</si>
  <si>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</si>
  <si>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</si>
  <si>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</si>
  <si>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</si>
  <si>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</si>
  <si>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</si>
  <si>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</si>
  <si>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</si>
  <si>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</si>
  <si>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</si>
  <si>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</si>
  <si>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</si>
  <si>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</si>
  <si>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</si>
  <si>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</si>
  <si>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</si>
  <si>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</si>
  <si>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</si>
  <si>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</si>
  <si>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</si>
  <si>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</si>
  <si>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</si>
  <si>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</si>
  <si>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</si>
  <si>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</si>
  <si>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</si>
  <si>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</si>
  <si>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</si>
  <si>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</si>
  <si>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</si>
  <si>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</si>
  <si>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</si>
  <si>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</si>
  <si>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</si>
  <si>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</si>
  <si>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</si>
  <si>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</si>
  <si>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</si>
  <si>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</si>
  <si>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</si>
  <si>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</si>
  <si>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</si>
  <si>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</si>
  <si>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</si>
  <si>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</si>
  <si>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</si>
  <si>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</si>
  <si>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</si>
  <si>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</si>
  <si>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</si>
  <si>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</si>
  <si>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</si>
  <si>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</si>
  <si>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</si>
  <si>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</si>
  <si>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</si>
  <si>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</si>
  <si>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</si>
  <si>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</si>
  <si>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</si>
  <si>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</si>
  <si>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</si>
  <si>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</si>
  <si>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</si>
  <si>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</si>
  <si>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</si>
  <si>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</si>
  <si>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</si>
  <si>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</si>
  <si>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</si>
  <si>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</si>
  <si>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</si>
  <si>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</si>
  <si>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</si>
  <si>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</si>
  <si>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</si>
  <si>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</si>
  <si>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</si>
  <si>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</si>
  <si>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</si>
  <si>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</si>
  <si>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</si>
  <si>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</si>
  <si>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</si>
  <si>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</si>
  <si>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</si>
  <si>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</si>
  <si>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</si>
  <si>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</si>
  <si>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</si>
  <si>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</si>
  <si>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</si>
  <si>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</si>
  <si>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</si>
  <si>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</si>
  <si>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</si>
  <si>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</si>
  <si>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</si>
  <si>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</si>
  <si>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</si>
  <si>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</si>
  <si>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</si>
  <si>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</si>
  <si>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</si>
  <si>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</si>
  <si>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</si>
  <si>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</si>
  <si>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</si>
  <si>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</si>
  <si>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</si>
  <si>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</si>
  <si>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</si>
  <si>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</si>
  <si>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</si>
  <si>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</si>
  <si>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</si>
  <si>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</si>
  <si>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</si>
  <si>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</si>
  <si>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</si>
  <si>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</si>
  <si>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</si>
  <si>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</si>
  <si>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</si>
  <si>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</si>
  <si>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</si>
  <si>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</si>
  <si>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</si>
  <si>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</si>
  <si>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</si>
  <si>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</si>
  <si>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</si>
  <si>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</si>
  <si>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</si>
  <si>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</si>
  <si>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</si>
  <si>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</si>
  <si>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</si>
  <si>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</si>
  <si>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</si>
  <si>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</si>
  <si>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</si>
  <si>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</si>
  <si>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</si>
  <si>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</si>
  <si>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</si>
  <si>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</si>
  <si>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</si>
  <si>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</si>
  <si>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</si>
  <si>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</si>
  <si>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</si>
  <si>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</si>
  <si>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</si>
  <si>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</si>
  <si>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</si>
  <si>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</si>
  <si>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</si>
  <si>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</si>
  <si>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</si>
  <si>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</si>
  <si>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</si>
  <si>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</si>
  <si>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</si>
  <si>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</si>
  <si>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</si>
  <si>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</si>
  <si>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</si>
  <si>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</si>
  <si>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</si>
  <si>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</si>
  <si>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</si>
  <si>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</si>
  <si>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</si>
  <si>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</si>
  <si>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</si>
  <si>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</si>
  <si>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</si>
  <si>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</si>
  <si>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</si>
  <si>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</si>
  <si>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</si>
  <si>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</si>
  <si>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</si>
  <si>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</si>
  <si>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</si>
  <si>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</si>
  <si>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</si>
  <si>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</si>
  <si>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</si>
  <si>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</si>
  <si>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</si>
  <si>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</si>
  <si>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</si>
  <si>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</si>
  <si>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</si>
  <si>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</si>
  <si>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</si>
  <si>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</si>
  <si>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</si>
  <si>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</si>
  <si>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</si>
  <si>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</si>
  <si>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</si>
  <si>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</si>
  <si>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</si>
  <si>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</si>
  <si>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</si>
  <si>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</si>
  <si>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</si>
  <si>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</si>
  <si>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</si>
  <si>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</si>
  <si>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</si>
  <si>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</si>
  <si>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</si>
  <si>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</si>
  <si>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</si>
  <si>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</si>
  <si>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</si>
  <si>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</si>
  <si>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0.10.0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</si>
  <si>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</si>
  <si>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</si>
  <si>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</si>
  <si>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</si>
  <si>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Reduced location view</t>
  </si>
  <si>
    <t>Yes hides the columns named in the setting below on every location sheet (toggled by the button on each one). No shows every column.</t>
  </si>
  <si>
    <t>LOC_REDUCED_COLUMNS</t>
  </si>
  <si>
    <t>Reduced view - hidden columns</t>
  </si>
  <si>
    <t>Semicolon-separated column headers hidden by the reduced view above. Edit this list to change which columns it hides - no rebuild needed.</t>
  </si>
  <si>
    <t>Status;Job ID;Printer;Area m2;Disregard Paper;Disregard Consumable;S_SchemaVer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</si>
  <si>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</si>
  <si>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</si>
  <si>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</si>
  <si>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</si>
  <si>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</si>
  <si>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</si>
  <si>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</si>
  <si>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</si>
  <si>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STK-SUP-ROLL</t>
  </si>
  <si>
    <t>Supplied (Roll)</t>
  </si>
  <si>
    <t>Student supplied</t>
  </si>
  <si>
    <t>STK-SUP-SHEET</t>
  </si>
  <si>
    <t>Supplied (Sheet)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</si>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</sst>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164" fontId="0" fillId="0" borderId="3" xfId="0" applyNumberFormat="1" applyBorder="1" applyAlignment="1" applyProtection="1">
      <alignment horizontal="right" vertical="center"/>
      <protection locked="0"/>
    </xf>
    <xf numFmtId="0" fontId="4" fillId="2" borderId="4" xfId="0" applyFont="1" applyFill="1" applyBorder="1" applyAlignment="1">
      <alignment vertical="center" wrapText="1"/>
    </xf>
    <xf numFmtId="164" fontId="0" fillId="6" borderId="5" xfId="0" applyNumberFormat="1" applyFill="1" applyBorder="1" applyAlignment="1" applyProtection="1">
      <alignment horizontal="right" vertical="center"/>
      <protection locked="0"/>
    </xf>
    <xf numFmtId="164" fontId="0" fillId="6" borderId="6" xfId="0" applyNumberForma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83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164" formatCode="\£#,##0.00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4" formatCode="\£#,##0.00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4" formatCode="\£#,##0.00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3:AI25" totalsRowShown="0">
  <autoFilter ref="A13:AI25" xr:uid="{00000000-0009-0000-0100-00000B000000}"/>
  <tableColumns count="35">
    <tableColumn id="3" xr3:uid="{00000000-0010-0000-0A00-000003000000}" name="Date/Time" dataDxfId="82"/>
    <tableColumn id="4" xr3:uid="{00000000-0010-0000-0A00-000004000000}" name="Student Name" dataDxfId="81"/>
    <tableColumn id="5" xr3:uid="{00000000-0010-0000-0A00-000005000000}" name="Student No" dataDxfId="80"/>
    <tableColumn id="6" xr3:uid="{00000000-0010-0000-0A00-000006000000}" name="Technician" dataDxfId="79"/>
    <tableColumn id="7" xr3:uid="{00000000-0010-0000-0A00-000007000000}" name="Printer" dataDxfId="78"/>
    <tableColumn id="8" xr3:uid="{00000000-0010-0000-0A00-000008000000}" name="Paper Stock" dataDxfId="77"/>
    <tableColumn id="9" xr3:uid="{00000000-0010-0000-0A00-000009000000}" name="Unit" dataDxfId="76">
      <calculatedColumnFormula>IF(tblJobs_MAIN[[#This Row],[S_Measure]]="","",IF(tblJobs_MAIN[[#This Row],[S_Measure]]="Sheet","sheets","metres"))</calculatedColumnFormula>
    </tableColumn>
    <tableColumn id="10" xr3:uid="{00000000-0010-0000-0A00-00000A000000}" name="Qty" dataDxfId="75"/>
    <tableColumn id="11" xr3:uid="{00000000-0010-0000-0A00-00000B000000}" name="Print Width mm" dataDxfId="74"/>
    <tableColumn id="35" xr3:uid="{E6BF4E83-281D-4CCB-8342-85AB57046527}" name="Sheet size" dataDxfId="73"/>
    <tableColumn id="12" xr3:uid="{00000000-0010-0000-0A00-00000C000000}" name="Disregard Paper" dataDxfId="72"/>
    <tableColumn id="13" xr3:uid="{00000000-0010-0000-0A00-00000D000000}" name="Disregard Consumable" dataDxfId="71"/>
    <tableColumn id="14" xr3:uid="{00000000-0010-0000-0A00-00000E000000}" name="Area m2" dataDxfId="70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calculatedColumnFormula>
    </tableColumn>
    <tableColumn id="15" xr3:uid="{00000000-0010-0000-0A00-00000F000000}" name="Paper Cost" dataDxfId="69">
      <calculatedColumnFormula>IF(tblJobs_MAIN[[#This Row],[Qty]]="","",ROUND(tblJobs_MAIN[[#This Row],[Qty]]*tblJobs_MAIN[[#This Row],[S_UnitCost]],SET_ROUND_DP))</calculatedColumnFormula>
    </tableColumn>
    <tableColumn id="16" xr3:uid="{00000000-0010-0000-0A00-000010000000}" name="Consumable Cost" dataDxfId="68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67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66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65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34" xr3:uid="{9C12E379-305A-4AA1-8D70-0BFC2C6CF3C5}" name="Paid" dataDxfId="64"/>
    <tableColumn id="1" xr3:uid="{00000000-0010-0000-0A00-000001000000}" name="Status" dataDxfId="63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62"/>
    <tableColumn id="20" xr3:uid="{00000000-0010-0000-0A00-000014000000}" name="Notes" dataDxfId="61"/>
    <tableColumn id="21" xr3:uid="{00000000-0010-0000-0A00-000015000000}" name="H_Issues" dataDxfId="60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22" xr3:uid="{00000000-0010-0000-0A00-000016000000}" name="S_PrinterID" dataDxfId="59"/>
    <tableColumn id="23" xr3:uid="{00000000-0010-0000-0A00-000017000000}" name="S_StockID" dataDxfId="58"/>
    <tableColumn id="24" xr3:uid="{00000000-0010-0000-0A00-000018000000}" name="S_TechID" dataDxfId="57"/>
    <tableColumn id="25" xr3:uid="{00000000-0010-0000-0A00-000019000000}" name="S_Family" dataDxfId="56"/>
    <tableColumn id="26" xr3:uid="{00000000-0010-0000-0A00-00001A000000}" name="S_Measure" dataDxfId="55"/>
    <tableColumn id="27" xr3:uid="{00000000-0010-0000-0A00-00001B000000}" name="S_UnitCost" dataDxfId="54"/>
    <tableColumn id="28" xr3:uid="{00000000-0010-0000-0A00-00001C000000}" name="S_StockWidth_mm" dataDxfId="53"/>
    <tableColumn id="29" xr3:uid="{00000000-0010-0000-0A00-00001D000000}" name="S_SheetHeight_mm" dataDxfId="52"/>
    <tableColumn id="30" xr3:uid="{00000000-0010-0000-0A00-00001E000000}" name="S_ConsRate" dataDxfId="51"/>
    <tableColumn id="31" xr3:uid="{00000000-0010-0000-0A00-00001F000000}" name="S_StampedAt" dataDxfId="50"/>
    <tableColumn id="32" xr3:uid="{00000000-0010-0000-0A00-000020000000}" name="S_StampedBy" dataDxfId="49"/>
    <tableColumn id="33" xr3:uid="{00000000-0010-0000-0A00-000021000000}" name="S_SchemaVer" dataDxfId="4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47">
  <autoFilter ref="A6:D9" xr:uid="{00000000-0009-0000-0100-000006000000}"/>
  <tableColumns count="4">
    <tableColumn id="1" xr3:uid="{00000000-0010-0000-0500-000001000000}" name="TechID" dataDxfId="46"/>
    <tableColumn id="2" xr3:uid="{00000000-0010-0000-0500-000002000000}" name="Name" dataDxfId="45"/>
    <tableColumn id="3" xr3:uid="{00000000-0010-0000-0500-000003000000}" name="Department" dataDxfId="44"/>
    <tableColumn id="4" xr3:uid="{00000000-0010-0000-0500-000004000000}" name="Active" dataDxfId="4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G10" totalsRowShown="0" dataDxfId="42">
  <autoFilter ref="A6:G10" xr:uid="{00000000-0009-0000-0100-000007000000}"/>
  <tableColumns count="7">
    <tableColumn id="1" xr3:uid="{00000000-0010-0000-0600-000001000000}" name="PrinterID" dataDxfId="41"/>
    <tableColumn id="2" xr3:uid="{00000000-0010-0000-0600-000002000000}" name="Model" dataDxfId="40"/>
    <tableColumn id="3" xr3:uid="{00000000-0010-0000-0600-000003000000}" name="Consumable type" dataDxfId="39"/>
    <tableColumn id="4" xr3:uid="{00000000-0010-0000-0600-000004000000}" name="Cost per m2" dataDxfId="38"/>
    <tableColumn id="7" xr3:uid="{27EBC752-1CF1-48B9-B798-05BFAB38AF84}" name="Max roll width mm" dataDxfId="37"/>
    <tableColumn id="8" xr3:uid="{78D66AB2-9A7B-410A-92C1-2CCFD2C22414}" name="Max sheet size" dataDxfId="36"/>
    <tableColumn id="6" xr3:uid="{00000000-0010-0000-0600-000006000000}" name="Active" dataDxfId="35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M17" totalsRowShown="0" dataDxfId="34">
  <autoFilter ref="A6:M17" xr:uid="{00000000-0009-0000-0100-000008000000}"/>
  <tableColumns count="13">
    <tableColumn id="1" xr3:uid="{00000000-0010-0000-0700-000001000000}" name="StockID" dataDxfId="33"/>
    <tableColumn id="2" xr3:uid="{00000000-0010-0000-0700-000002000000}" name="Description" dataDxfId="32"/>
    <tableColumn id="3" xr3:uid="{00000000-0010-0000-0700-000003000000}" name="Paper type" dataDxfId="31"/>
    <tableColumn id="4" xr3:uid="{00000000-0010-0000-0700-000004000000}" name="Family" dataDxfId="30"/>
    <tableColumn id="5" xr3:uid="{00000000-0010-0000-0700-000005000000}" name="Measure" dataDxfId="29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 dataDxfId="28"/>
    <tableColumn id="7" xr3:uid="{00000000-0010-0000-0700-000007000000}" name="Std. size" dataDxfId="27"/>
    <tableColumn id="8" xr3:uid="{00000000-0010-0000-0700-000008000000}" name="Width mm" dataDxfId="26"/>
    <tableColumn id="9" xr3:uid="{00000000-0010-0000-0700-000009000000}" name="Height mm" dataDxfId="25"/>
    <tableColumn id="10" xr3:uid="{00000000-0010-0000-0700-00000A000000}" name="Cost" dataDxfId="24"/>
    <tableColumn id="11" xr3:uid="{00000000-0010-0000-0700-00000B000000}" name="Cost unit" dataDxfId="2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22"/>
    <tableColumn id="13" xr3:uid="{62AE4E30-01F2-4D26-B1F8-C8FD5BF6FCC9}" name="Supplied by student" dataDxfId="2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20" totalsRowShown="0">
  <autoFilter ref="A5:D20" xr:uid="{00000000-0009-0000-0100-000001000000}"/>
  <tableColumns count="4">
    <tableColumn id="1" xr3:uid="{00000000-0010-0000-0000-000001000000}" name="Key" dataDxfId="20"/>
    <tableColumn id="2" xr3:uid="{00000000-0010-0000-0000-000002000000}" name="Setting" dataDxfId="19"/>
    <tableColumn id="3" xr3:uid="{00000000-0010-0000-0000-000003000000}" name="Value" dataDxfId="18"/>
    <tableColumn id="4" xr3:uid="{00000000-0010-0000-0000-000004000000}" name="Notes" dataDxfId="17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 dataDxfId="16">
  <autoFilter ref="F5:G11" xr:uid="{00000000-0009-0000-0100-000002000000}"/>
  <tableColumns count="2">
    <tableColumn id="1" xr3:uid="{00000000-0010-0000-0100-000001000000}" name="Paper type" dataDxfId="15"/>
    <tableColumn id="2" xr3:uid="{00000000-0010-0000-0100-000002000000}" name="Active" dataDxfId="14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7" totalsRowShown="0" dataDxfId="13">
  <autoFilter ref="I5:K7" xr:uid="{00000000-0009-0000-0100-000003000000}"/>
  <tableColumns count="3">
    <tableColumn id="1" xr3:uid="{00000000-0010-0000-0200-000001000000}" name="Family" dataDxfId="12"/>
    <tableColumn id="2" xr3:uid="{00000000-0010-0000-0200-000002000000}" name="Measurement basis" dataDxfId="11"/>
    <tableColumn id="3" xr3:uid="{00000000-0010-0000-0200-000003000000}" name="Notes" dataDxfId="10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 dataDxfId="9">
  <autoFilter ref="M5:O11" xr:uid="{00000000-0009-0000-0100-000004000000}"/>
  <tableColumns count="3">
    <tableColumn id="1" xr3:uid="{00000000-0010-0000-0300-000001000000}" name="Size name" dataDxfId="8"/>
    <tableColumn id="2" xr3:uid="{00000000-0010-0000-0300-000002000000}" name="Width mm" dataDxfId="7"/>
    <tableColumn id="3" xr3:uid="{00000000-0010-0000-0300-000003000000}" name="Height mm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 dataDxfId="5">
  <autoFilter ref="Q5:R9" xr:uid="{00000000-0009-0000-0100-000005000000}"/>
  <tableColumns count="2">
    <tableColumn id="1" xr3:uid="{00000000-0010-0000-0400-000001000000}" name="Consumable type" dataDxfId="4"/>
    <tableColumn id="2" xr3:uid="{00000000-0010-0000-0400-000002000000}" name="Active" dataDxfId="3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Z25"/>
  <sheetViews>
    <sheetView showGridLines="0" workbookViewId="0">
      <selection activeCell="G17" sqref="G17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8" width="7.08984375" customWidth="1"/>
    <col min="9" max="9" width="17.08984375" customWidth="1"/>
    <col min="10" max="10" width="15.7265625" customWidth="1"/>
    <col min="11" max="12" width="18.453125" customWidth="1"/>
    <col min="13" max="13" width="8.4531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5.6328125" customWidth="1"/>
    <col min="20" max="20" width="34.7265625" customWidth="1"/>
    <col min="21" max="21" width="14.1796875" customWidth="1"/>
    <col min="22" max="22" width="11.7265625" customWidth="1" collapsed="1"/>
    <col min="23" max="24" width="11.7265625" hidden="1" customWidth="1"/>
    <col min="25" max="25" width="13.7265625" hidden="1" customWidth="1"/>
    <col min="26" max="26" width="10.7265625" hidden="1" customWidth="1"/>
    <col min="27" max="27" width="12.7265625" hidden="1" customWidth="1"/>
    <col min="28" max="28" width="13.7265625" hidden="1" customWidth="1"/>
    <col min="29" max="29" width="14.7265625" hidden="1" customWidth="1"/>
    <col min="30" max="30" width="12.7265625" hidden="1" customWidth="1"/>
    <col min="31" max="31" width="16.7265625" hidden="1" customWidth="1"/>
    <col min="32" max="32" width="14.7265625" hidden="1" customWidth="1"/>
    <col min="33" max="33" width="11.7265625" hidden="1" customWidth="1"/>
    <col min="34" max="34" width="0" hidden="1" customWidth="1" collapsed="1"/>
    <col min="35" max="35" width="8.7265625" customWidth="1"/>
    <col min="36" max="36" width="29.90625" customWidth="1"/>
    <col min="52" max="52" width="0" hidden="1" customWidth="1"/>
  </cols>
  <sheetData>
    <row r="1" spans="1:52" ht="21" x14ac:dyDescent="0.35">
      <c r="A1" s="6" t="s">
        <v>136</v>
      </c>
      <c r="B1" s="1" t="s">
        <v>210</v>
      </c>
      <c r="D1" s="3" t="s">
        <v>145</v>
      </c>
      <c r="AL1" s="18" t="s">
        <v>190</v>
      </c>
      <c r="AZ1" t="s">
        <v>144</v>
      </c>
    </row>
    <row r="2" spans="1:52" x14ac:dyDescent="0.35">
      <c r="A2" s="6" t="s">
        <v>19</v>
      </c>
      <c r="B2" s="34" t="s">
        <v>20</v>
      </c>
      <c r="D2" s="2" t="s">
        <v>146</v>
      </c>
      <c r="AL2" s="18" t="s">
        <v>137</v>
      </c>
      <c r="AM2" t="s">
        <v>138</v>
      </c>
    </row>
    <row r="3" spans="1:52" x14ac:dyDescent="0.35">
      <c r="A3" s="6" t="s">
        <v>249</v>
      </c>
      <c r="B3" s="35"/>
      <c r="D3" s="2"/>
      <c r="AL3" s="18" t="s">
        <v>139</v>
      </c>
      <c r="AM3" t="s">
        <v>140</v>
      </c>
    </row>
    <row r="4" spans="1:52" x14ac:dyDescent="0.35">
      <c r="A4" s="6" t="s">
        <v>250</v>
      </c>
      <c r="B4" s="36"/>
      <c r="AL4" s="18" t="s">
        <v>141</v>
      </c>
      <c r="AM4" t="s">
        <v>140</v>
      </c>
    </row>
    <row r="5" spans="1:52" x14ac:dyDescent="0.35">
      <c r="A5" s="6" t="s">
        <v>251</v>
      </c>
      <c r="B5" s="36"/>
      <c r="AL5" s="18" t="s">
        <v>142</v>
      </c>
      <c r="AM5" t="s">
        <v>143</v>
      </c>
    </row>
    <row r="6" spans="1:52" x14ac:dyDescent="0.35">
      <c r="A6" s="6" t="s">
        <v>252</v>
      </c>
      <c r="B6" s="35" t="s">
        <v>253</v>
      </c>
      <c r="AL6" s="45" t="s">
        <v>257</v>
      </c>
      <c r="AM6" s="31" t="s">
        <v>258</v>
      </c>
    </row>
    <row r="7" spans="1:52" x14ac:dyDescent="0.35">
      <c r="A7" s="6" t="s">
        <v>254</v>
      </c>
      <c r="B7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  <c r="AL7" s="18" t="s">
        <v>192</v>
      </c>
      <c r="AM7" t="s">
        <v>209</v>
      </c>
    </row>
    <row r="8" spans="1:52" x14ac:dyDescent="0.35">
      <c r="A8" s="30" t="s">
        <v>255</v>
      </c>
      <c r="B8">
        <f>ROWS(tblJobs_MAIN[])</f>
        <v>12</v>
      </c>
      <c r="AL8" s="19" t="s">
        <v>191</v>
      </c>
    </row>
    <row r="11" spans="1:52" x14ac:dyDescent="0.35">
      <c r="A11" s="32"/>
      <c r="C11" s="32"/>
      <c r="E11" s="32"/>
      <c r="G11" s="32"/>
      <c r="I11" s="32"/>
      <c r="K11" s="32"/>
      <c r="M11" s="2"/>
    </row>
    <row r="13" spans="1:52" ht="29" x14ac:dyDescent="0.35">
      <c r="A13" s="4" t="s">
        <v>149</v>
      </c>
      <c r="B13" s="4" t="s">
        <v>150</v>
      </c>
      <c r="C13" s="4" t="s">
        <v>151</v>
      </c>
      <c r="D13" s="4" t="s">
        <v>152</v>
      </c>
      <c r="E13" s="4" t="s">
        <v>153</v>
      </c>
      <c r="F13" s="4" t="s">
        <v>154</v>
      </c>
      <c r="G13" s="4" t="s">
        <v>155</v>
      </c>
      <c r="H13" s="4" t="s">
        <v>248</v>
      </c>
      <c r="I13" s="4" t="s">
        <v>156</v>
      </c>
      <c r="J13" s="24" t="s">
        <v>256</v>
      </c>
      <c r="K13" s="4" t="s">
        <v>157</v>
      </c>
      <c r="L13" s="4" t="s">
        <v>158</v>
      </c>
      <c r="M13" s="4" t="s">
        <v>159</v>
      </c>
      <c r="N13" s="4" t="s">
        <v>160</v>
      </c>
      <c r="O13" s="4" t="s">
        <v>161</v>
      </c>
      <c r="P13" s="4" t="s">
        <v>162</v>
      </c>
      <c r="Q13" s="4" t="s">
        <v>163</v>
      </c>
      <c r="R13" s="4" t="s">
        <v>164</v>
      </c>
      <c r="S13" s="24" t="s">
        <v>247</v>
      </c>
      <c r="T13" s="4" t="s">
        <v>147</v>
      </c>
      <c r="U13" s="4" t="s">
        <v>148</v>
      </c>
      <c r="V13" s="4" t="s">
        <v>6</v>
      </c>
      <c r="W13" s="4" t="s">
        <v>165</v>
      </c>
      <c r="X13" s="4" t="s">
        <v>166</v>
      </c>
      <c r="Y13" s="4" t="s">
        <v>167</v>
      </c>
      <c r="Z13" s="4" t="s">
        <v>168</v>
      </c>
      <c r="AA13" s="4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 s="4" t="s">
        <v>174</v>
      </c>
      <c r="AG13" s="4" t="s">
        <v>175</v>
      </c>
      <c r="AH13" s="4" t="s">
        <v>176</v>
      </c>
      <c r="AI13" s="4" t="s">
        <v>177</v>
      </c>
    </row>
    <row r="14" spans="1:52" x14ac:dyDescent="0.35">
      <c r="A14" s="11">
        <v>46280.425000000003</v>
      </c>
      <c r="B14" s="12" t="s">
        <v>179</v>
      </c>
      <c r="C14" s="12">
        <v>2201884</v>
      </c>
      <c r="D14" s="12" t="s">
        <v>76</v>
      </c>
      <c r="E14" s="12" t="s">
        <v>92</v>
      </c>
      <c r="F14" s="12" t="s">
        <v>109</v>
      </c>
      <c r="G14" s="9" t="str">
        <f>IF(tblJobs_MAIN[[#This Row],[S_Measure]]="","",IF(tblJobs_MAIN[[#This Row],[S_Measure]]="Sheet","sheets","metres"))</f>
        <v>sheets</v>
      </c>
      <c r="H14" s="13">
        <v>100</v>
      </c>
      <c r="I14" s="39"/>
      <c r="J14" s="42"/>
      <c r="K14" s="40" t="s">
        <v>140</v>
      </c>
      <c r="L14" s="12" t="s">
        <v>140</v>
      </c>
      <c r="M14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14.400000000000002</v>
      </c>
      <c r="N14" s="15">
        <f>IF(tblJobs_MAIN[[#This Row],[Qty]]="","",ROUND(tblJobs_MAIN[[#This Row],[Qty]]*tblJobs_MAIN[[#This Row],[S_UnitCost]],SET_ROUND_DP))</f>
        <v>31</v>
      </c>
      <c r="O14" s="15">
        <f>IF(tblJobs_MAIN[[#This Row],[Area m2]]="","",ROUND(tblJobs_MAIN[[#This Row],[Area m2]]*tblJobs_MAIN[[#This Row],[S_ConsRate]],SET_ROUND_DP))</f>
        <v>13.68</v>
      </c>
      <c r="P14" s="15">
        <f>IF(tblJobs_MAIN[[#This Row],[Paper Cost]]="","",tblJobs_MAIN[[#This Row],[Paper Cost]]+tblJobs_MAIN[[#This Row],[Consumable Cost]])</f>
        <v>44.68</v>
      </c>
      <c r="Q14" s="15">
        <f>IF(tblJobs_MAIN[[#This Row],[Gross Cost]]="","",tblJobs_MAIN[[#This Row],[Gross Cost]]-tblJobs_MAIN[[#This Row],[Chargeable Cost]])</f>
        <v>0</v>
      </c>
      <c r="R1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S14" s="37"/>
      <c r="T14" s="9" t="str">
        <f>IF(tblJobs_MAIN[[#This Row],[Job ID]]="","",IF(tblJobs_MAIN[[#This Row],[H_Issues]]="","OK",MID(tblJobs_MAIN[[#This Row],[H_Issues]],3,255)))</f>
        <v>OK</v>
      </c>
      <c r="U14" s="5" t="s">
        <v>178</v>
      </c>
      <c r="V14" s="12" t="s">
        <v>180</v>
      </c>
      <c r="W1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4" s="16" t="s">
        <v>91</v>
      </c>
      <c r="Y14" s="16" t="s">
        <v>108</v>
      </c>
      <c r="Z14" s="16" t="s">
        <v>75</v>
      </c>
      <c r="AA14" s="16" t="s">
        <v>47</v>
      </c>
      <c r="AB14" s="16" t="s">
        <v>47</v>
      </c>
      <c r="AC14" s="17">
        <v>0.31</v>
      </c>
      <c r="AD14" s="16">
        <v>320</v>
      </c>
      <c r="AE14" s="16">
        <v>450</v>
      </c>
      <c r="AF14" s="17">
        <v>0.95</v>
      </c>
      <c r="AG14" s="16">
        <v>46280.425000000003</v>
      </c>
      <c r="AH14" s="16" t="s">
        <v>181</v>
      </c>
      <c r="AI14" s="16">
        <v>1</v>
      </c>
    </row>
    <row r="15" spans="1:52" x14ac:dyDescent="0.35">
      <c r="A15" s="11">
        <v>46280.611111111109</v>
      </c>
      <c r="B15" s="12" t="s">
        <v>179</v>
      </c>
      <c r="C15" s="12">
        <v>2201884</v>
      </c>
      <c r="D15" s="12" t="s">
        <v>78</v>
      </c>
      <c r="E15" s="12" t="s">
        <v>88</v>
      </c>
      <c r="F15" s="12" t="s">
        <v>115</v>
      </c>
      <c r="G15" s="9" t="str">
        <f>IF(tblJobs_MAIN[[#This Row],[S_Measure]]="","",IF(tblJobs_MAIN[[#This Row],[S_Measure]]="Sheet","sheets","metres"))</f>
        <v>metres</v>
      </c>
      <c r="H15" s="13">
        <v>12</v>
      </c>
      <c r="I15" s="39"/>
      <c r="J15" s="42"/>
      <c r="K15" s="40" t="s">
        <v>140</v>
      </c>
      <c r="L15" s="12" t="s">
        <v>140</v>
      </c>
      <c r="M15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10.968</v>
      </c>
      <c r="N15" s="15">
        <f>IF(tblJobs_MAIN[[#This Row],[Qty]]="","",ROUND(tblJobs_MAIN[[#This Row],[Qty]]*tblJobs_MAIN[[#This Row],[S_UnitCost]],SET_ROUND_DP))</f>
        <v>105</v>
      </c>
      <c r="O15" s="15">
        <f>IF(tblJobs_MAIN[[#This Row],[Area m2]]="","",ROUND(tblJobs_MAIN[[#This Row],[Area m2]]*tblJobs_MAIN[[#This Row],[S_ConsRate]],SET_ROUND_DP))</f>
        <v>31.26</v>
      </c>
      <c r="P15" s="15">
        <f>IF(tblJobs_MAIN[[#This Row],[Paper Cost]]="","",tblJobs_MAIN[[#This Row],[Paper Cost]]+tblJobs_MAIN[[#This Row],[Consumable Cost]])</f>
        <v>136.26</v>
      </c>
      <c r="Q15" s="15">
        <f>IF(tblJobs_MAIN[[#This Row],[Gross Cost]]="","",tblJobs_MAIN[[#This Row],[Gross Cost]]-tblJobs_MAIN[[#This Row],[Chargeable Cost]])</f>
        <v>0</v>
      </c>
      <c r="R1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S15" s="38"/>
      <c r="T15" s="9" t="str">
        <f>IF(tblJobs_MAIN[[#This Row],[Job ID]]="","",IF(tblJobs_MAIN[[#This Row],[H_Issues]]="","OK",MID(tblJobs_MAIN[[#This Row],[H_Issues]],3,255)))</f>
        <v>OK</v>
      </c>
      <c r="U15" s="5" t="s">
        <v>182</v>
      </c>
      <c r="V15" s="12" t="s">
        <v>183</v>
      </c>
      <c r="W1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5" s="16" t="s">
        <v>87</v>
      </c>
      <c r="Y15" s="16" t="s">
        <v>114</v>
      </c>
      <c r="Z15" s="16" t="s">
        <v>77</v>
      </c>
      <c r="AA15" s="16" t="s">
        <v>52</v>
      </c>
      <c r="AB15" s="16" t="s">
        <v>50</v>
      </c>
      <c r="AC15" s="17">
        <v>8.75</v>
      </c>
      <c r="AD15" s="16">
        <v>914</v>
      </c>
      <c r="AE15" s="16"/>
      <c r="AF15" s="17">
        <v>2.85</v>
      </c>
      <c r="AG15" s="16">
        <v>46280.611111111109</v>
      </c>
      <c r="AH15" s="16" t="s">
        <v>181</v>
      </c>
      <c r="AI15" s="16">
        <v>1</v>
      </c>
    </row>
    <row r="16" spans="1:52" x14ac:dyDescent="0.35">
      <c r="A16" s="11">
        <v>46281.461805555555</v>
      </c>
      <c r="B16" s="12" t="s">
        <v>185</v>
      </c>
      <c r="C16" s="12">
        <v>2203110</v>
      </c>
      <c r="D16" s="12" t="s">
        <v>78</v>
      </c>
      <c r="E16" s="12" t="s">
        <v>88</v>
      </c>
      <c r="F16" s="12" t="s">
        <v>115</v>
      </c>
      <c r="G16" s="9" t="str">
        <f>IF(tblJobs_MAIN[[#This Row],[S_Measure]]="","",IF(tblJobs_MAIN[[#This Row],[S_Measure]]="Sheet","sheets","metres"))</f>
        <v>metres</v>
      </c>
      <c r="H16" s="13">
        <v>12</v>
      </c>
      <c r="I16" s="39">
        <v>600</v>
      </c>
      <c r="J16" s="42"/>
      <c r="K16" s="40" t="s">
        <v>140</v>
      </c>
      <c r="L16" s="12" t="s">
        <v>140</v>
      </c>
      <c r="M16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7.1999999999999993</v>
      </c>
      <c r="N16" s="15">
        <f>IF(tblJobs_MAIN[[#This Row],[Qty]]="","",ROUND(tblJobs_MAIN[[#This Row],[Qty]]*tblJobs_MAIN[[#This Row],[S_UnitCost]],SET_ROUND_DP))</f>
        <v>105</v>
      </c>
      <c r="O16" s="15">
        <f>IF(tblJobs_MAIN[[#This Row],[Area m2]]="","",ROUND(tblJobs_MAIN[[#This Row],[Area m2]]*tblJobs_MAIN[[#This Row],[S_ConsRate]],SET_ROUND_DP))</f>
        <v>20.52</v>
      </c>
      <c r="P16" s="15">
        <f>IF(tblJobs_MAIN[[#This Row],[Paper Cost]]="","",tblJobs_MAIN[[#This Row],[Paper Cost]]+tblJobs_MAIN[[#This Row],[Consumable Cost]])</f>
        <v>125.52</v>
      </c>
      <c r="Q16" s="15">
        <f>IF(tblJobs_MAIN[[#This Row],[Gross Cost]]="","",tblJobs_MAIN[[#This Row],[Gross Cost]]-tblJobs_MAIN[[#This Row],[Chargeable Cost]])</f>
        <v>0</v>
      </c>
      <c r="R1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S16" s="38"/>
      <c r="T16" s="9" t="str">
        <f>IF(tblJobs_MAIN[[#This Row],[Job ID]]="","",IF(tblJobs_MAIN[[#This Row],[H_Issues]]="","OK",MID(tblJobs_MAIN[[#This Row],[H_Issues]],3,255)))</f>
        <v>OK</v>
      </c>
      <c r="U16" s="5" t="s">
        <v>184</v>
      </c>
      <c r="V16" s="12" t="s">
        <v>186</v>
      </c>
      <c r="W1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6" s="16" t="s">
        <v>87</v>
      </c>
      <c r="Y16" s="16" t="s">
        <v>114</v>
      </c>
      <c r="Z16" s="16" t="s">
        <v>77</v>
      </c>
      <c r="AA16" s="16" t="s">
        <v>52</v>
      </c>
      <c r="AB16" s="16" t="s">
        <v>50</v>
      </c>
      <c r="AC16" s="17">
        <v>8.75</v>
      </c>
      <c r="AD16" s="16">
        <v>914</v>
      </c>
      <c r="AE16" s="16"/>
      <c r="AF16" s="17">
        <v>2.85</v>
      </c>
      <c r="AG16" s="16">
        <v>46281.461805555555</v>
      </c>
      <c r="AH16" s="16" t="s">
        <v>181</v>
      </c>
      <c r="AI16" s="16">
        <v>1</v>
      </c>
    </row>
    <row r="17" spans="1:35" x14ac:dyDescent="0.35">
      <c r="A17" s="11">
        <v>46281.638888888891</v>
      </c>
      <c r="B17" s="12" t="s">
        <v>185</v>
      </c>
      <c r="C17" s="12">
        <v>2203110</v>
      </c>
      <c r="D17" s="12" t="s">
        <v>76</v>
      </c>
      <c r="E17" s="12" t="s">
        <v>88</v>
      </c>
      <c r="F17" s="12" t="s">
        <v>113</v>
      </c>
      <c r="G17" s="9" t="str">
        <f>IF(tblJobs_MAIN[[#This Row],[S_Measure]]="","",IF(tblJobs_MAIN[[#This Row],[S_Measure]]="Sheet","sheets","metres"))</f>
        <v>metres</v>
      </c>
      <c r="H17" s="13">
        <v>5</v>
      </c>
      <c r="I17" s="39"/>
      <c r="J17" s="42"/>
      <c r="K17" s="40" t="s">
        <v>38</v>
      </c>
      <c r="L17" s="12" t="s">
        <v>140</v>
      </c>
      <c r="M17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3.05</v>
      </c>
      <c r="N17" s="15">
        <f>IF(tblJobs_MAIN[[#This Row],[Qty]]="","",ROUND(tblJobs_MAIN[[#This Row],[Qty]]*tblJobs_MAIN[[#This Row],[S_UnitCost]],SET_ROUND_DP))</f>
        <v>15.5</v>
      </c>
      <c r="O17" s="15">
        <f>IF(tblJobs_MAIN[[#This Row],[Area m2]]="","",ROUND(tblJobs_MAIN[[#This Row],[Area m2]]*tblJobs_MAIN[[#This Row],[S_ConsRate]],SET_ROUND_DP))</f>
        <v>8.69</v>
      </c>
      <c r="P17" s="15">
        <f>IF(tblJobs_MAIN[[#This Row],[Paper Cost]]="","",tblJobs_MAIN[[#This Row],[Paper Cost]]+tblJobs_MAIN[[#This Row],[Consumable Cost]])</f>
        <v>24.189999999999998</v>
      </c>
      <c r="Q17" s="15">
        <f>IF(tblJobs_MAIN[[#This Row],[Gross Cost]]="","",tblJobs_MAIN[[#This Row],[Gross Cost]]-tblJobs_MAIN[[#This Row],[Chargeable Cost]])</f>
        <v>15.499999999999998</v>
      </c>
      <c r="R1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S17" s="38"/>
      <c r="T17" s="9" t="str">
        <f>IF(tblJobs_MAIN[[#This Row],[Job ID]]="","",IF(tblJobs_MAIN[[#This Row],[H_Issues]]="","OK",MID(tblJobs_MAIN[[#This Row],[H_Issues]],3,255)))</f>
        <v>OK</v>
      </c>
      <c r="U17" s="5" t="s">
        <v>187</v>
      </c>
      <c r="V17" s="12" t="s">
        <v>188</v>
      </c>
      <c r="W1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7" s="16" t="s">
        <v>87</v>
      </c>
      <c r="Y17" s="16" t="s">
        <v>112</v>
      </c>
      <c r="Z17" s="16" t="s">
        <v>75</v>
      </c>
      <c r="AA17" s="16" t="s">
        <v>49</v>
      </c>
      <c r="AB17" s="16" t="s">
        <v>50</v>
      </c>
      <c r="AC17" s="17">
        <v>3.1</v>
      </c>
      <c r="AD17" s="16">
        <v>610</v>
      </c>
      <c r="AE17" s="16"/>
      <c r="AF17" s="17">
        <v>2.85</v>
      </c>
      <c r="AG17" s="16">
        <v>46281.638888888891</v>
      </c>
      <c r="AH17" s="16" t="s">
        <v>181</v>
      </c>
      <c r="AI17" s="16">
        <v>1</v>
      </c>
    </row>
    <row r="18" spans="1:35" x14ac:dyDescent="0.35">
      <c r="A18" s="11">
        <v>46282.381944444445</v>
      </c>
      <c r="B18" s="12" t="s">
        <v>193</v>
      </c>
      <c r="C18" s="12">
        <v>2204521</v>
      </c>
      <c r="D18" s="12" t="s">
        <v>80</v>
      </c>
      <c r="E18" s="12" t="s">
        <v>92</v>
      </c>
      <c r="F18" s="12" t="s">
        <v>111</v>
      </c>
      <c r="G18" s="9" t="str">
        <f>IF(tblJobs_MAIN[[#This Row],[S_Measure]]="","",IF(tblJobs_MAIN[[#This Row],[S_Measure]]="Sheet","sheets","metres"))</f>
        <v>sheets</v>
      </c>
      <c r="H18" s="13">
        <v>25</v>
      </c>
      <c r="I18" s="39"/>
      <c r="J18" s="42"/>
      <c r="K18" s="40" t="s">
        <v>140</v>
      </c>
      <c r="L18" s="12" t="s">
        <v>38</v>
      </c>
      <c r="M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3.1184999999999996</v>
      </c>
      <c r="N18" s="15">
        <f>IF(tblJobs_MAIN[[#This Row],[Qty]]="","",ROUND(tblJobs_MAIN[[#This Row],[Qty]]*tblJobs_MAIN[[#This Row],[S_UnitCost]],SET_ROUND_DP))</f>
        <v>2.25</v>
      </c>
      <c r="O18" s="15">
        <f>IF(tblJobs_MAIN[[#This Row],[Area m2]]="","",ROUND(tblJobs_MAIN[[#This Row],[Area m2]]*tblJobs_MAIN[[#This Row],[S_ConsRate]],SET_ROUND_DP))</f>
        <v>2.96</v>
      </c>
      <c r="P18" s="15">
        <f>IF(tblJobs_MAIN[[#This Row],[Paper Cost]]="","",tblJobs_MAIN[[#This Row],[Paper Cost]]+tblJobs_MAIN[[#This Row],[Consumable Cost]])</f>
        <v>5.21</v>
      </c>
      <c r="Q18" s="15">
        <f>IF(tblJobs_MAIN[[#This Row],[Gross Cost]]="","",tblJobs_MAIN[[#This Row],[Gross Cost]]-tblJobs_MAIN[[#This Row],[Chargeable Cost]])</f>
        <v>2.96</v>
      </c>
      <c r="R1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S18" s="38"/>
      <c r="T18" s="9" t="str">
        <f>IF(tblJobs_MAIN[[#This Row],[Job ID]]="","",IF(tblJobs_MAIN[[#This Row],[H_Issues]]="","OK",MID(tblJobs_MAIN[[#This Row],[H_Issues]],3,255)))</f>
        <v>OK</v>
      </c>
      <c r="U18" s="5" t="s">
        <v>189</v>
      </c>
      <c r="V18" s="12" t="s">
        <v>194</v>
      </c>
      <c r="W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8" s="16" t="s">
        <v>91</v>
      </c>
      <c r="Y18" s="16" t="s">
        <v>110</v>
      </c>
      <c r="Z18" s="16" t="s">
        <v>79</v>
      </c>
      <c r="AA18" s="16" t="s">
        <v>47</v>
      </c>
      <c r="AB18" s="16" t="s">
        <v>47</v>
      </c>
      <c r="AC18" s="17">
        <v>0.09</v>
      </c>
      <c r="AD18" s="16">
        <v>297</v>
      </c>
      <c r="AE18" s="16">
        <v>420</v>
      </c>
      <c r="AF18" s="17">
        <v>0.95</v>
      </c>
      <c r="AG18" s="16">
        <v>46282.381944444445</v>
      </c>
      <c r="AH18" s="16" t="s">
        <v>181</v>
      </c>
      <c r="AI18" s="16">
        <v>1</v>
      </c>
    </row>
    <row r="19" spans="1:35" x14ac:dyDescent="0.35">
      <c r="A19" s="11">
        <v>46282.559027777781</v>
      </c>
      <c r="B19" s="11" t="s">
        <v>193</v>
      </c>
      <c r="C19" s="12">
        <v>2204521</v>
      </c>
      <c r="D19" s="12" t="s">
        <v>80</v>
      </c>
      <c r="E19" s="12" t="s">
        <v>92</v>
      </c>
      <c r="F19" s="12" t="s">
        <v>121</v>
      </c>
      <c r="G19" s="20" t="str">
        <f>IF(tblJobs_MAIN[[#This Row],[S_Measure]]="","",IF(tblJobs_MAIN[[#This Row],[S_Measure]]="Sheet","sheets","metres"))</f>
        <v>sheets</v>
      </c>
      <c r="H19" s="13">
        <v>15</v>
      </c>
      <c r="I19" s="39"/>
      <c r="J19" s="42"/>
      <c r="K19" s="41" t="s">
        <v>140</v>
      </c>
      <c r="L19" s="12" t="s">
        <v>140</v>
      </c>
      <c r="M1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2.16</v>
      </c>
      <c r="N19" s="15">
        <f>IF(tblJobs_MAIN[[#This Row],[Qty]]="","",ROUND(tblJobs_MAIN[[#This Row],[Qty]]*tblJobs_MAIN[[#This Row],[S_UnitCost]],SET_ROUND_DP))</f>
        <v>2.7</v>
      </c>
      <c r="O19" s="15">
        <f>IF(tblJobs_MAIN[[#This Row],[Area m2]]="","",ROUND(tblJobs_MAIN[[#This Row],[Area m2]]*tblJobs_MAIN[[#This Row],[S_ConsRate]],SET_ROUND_DP))</f>
        <v>2.0499999999999998</v>
      </c>
      <c r="P19" s="15">
        <f>IF(tblJobs_MAIN[[#This Row],[Paper Cost]]="","",tblJobs_MAIN[[#This Row],[Paper Cost]]+tblJobs_MAIN[[#This Row],[Consumable Cost]])</f>
        <v>4.75</v>
      </c>
      <c r="Q19" s="15">
        <f>IF(tblJobs_MAIN[[#This Row],[Gross Cost]]="","",tblJobs_MAIN[[#This Row],[Gross Cost]]-tblJobs_MAIN[[#This Row],[Chargeable Cost]])</f>
        <v>0</v>
      </c>
      <c r="R1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S19" s="38"/>
      <c r="T19" s="9" t="str">
        <f>IF(tblJobs_MAIN[[#This Row],[Job ID]]="","",IF(tblJobs_MAIN[[#This Row],[H_Issues]]="","OK",MID(tblJobs_MAIN[[#This Row],[H_Issues]],3,255)))</f>
        <v>OK</v>
      </c>
      <c r="U19" s="5" t="s">
        <v>196</v>
      </c>
      <c r="V19" s="12" t="s">
        <v>195</v>
      </c>
      <c r="W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9" s="16" t="s">
        <v>91</v>
      </c>
      <c r="Y19" s="16" t="s">
        <v>120</v>
      </c>
      <c r="Z19" s="16" t="s">
        <v>79</v>
      </c>
      <c r="AA19" s="16" t="s">
        <v>47</v>
      </c>
      <c r="AB19" s="16" t="s">
        <v>47</v>
      </c>
      <c r="AC19" s="17">
        <v>0.18</v>
      </c>
      <c r="AD19" s="16">
        <v>320</v>
      </c>
      <c r="AE19" s="16">
        <v>450</v>
      </c>
      <c r="AF19" s="17">
        <v>0.95</v>
      </c>
      <c r="AG19" s="16">
        <v>46282.559027777781</v>
      </c>
      <c r="AH19" s="16" t="s">
        <v>181</v>
      </c>
      <c r="AI19" s="16">
        <v>1</v>
      </c>
    </row>
    <row r="20" spans="1:35" x14ac:dyDescent="0.35">
      <c r="A20" s="11">
        <v>46282.666666666664</v>
      </c>
      <c r="B20" s="11" t="s">
        <v>193</v>
      </c>
      <c r="C20" s="12">
        <v>2204521</v>
      </c>
      <c r="D20" s="12" t="s">
        <v>78</v>
      </c>
      <c r="E20" s="12" t="s">
        <v>94</v>
      </c>
      <c r="F20" s="12" t="s">
        <v>117</v>
      </c>
      <c r="G20" s="20" t="str">
        <f>IF(tblJobs_MAIN[[#This Row],[S_Measure]]="","",IF(tblJobs_MAIN[[#This Row],[S_Measure]]="Sheet","sheets","metres"))</f>
        <v>metres</v>
      </c>
      <c r="H20" s="13">
        <v>8</v>
      </c>
      <c r="I20" s="39"/>
      <c r="J20" s="42"/>
      <c r="K20" s="41" t="s">
        <v>140</v>
      </c>
      <c r="L20" s="12" t="s">
        <v>140</v>
      </c>
      <c r="M20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10.96</v>
      </c>
      <c r="N20" s="15">
        <f>IF(tblJobs_MAIN[[#This Row],[Qty]]="","",ROUND(tblJobs_MAIN[[#This Row],[Qty]]*tblJobs_MAIN[[#This Row],[S_UnitCost]],SET_ROUND_DP))</f>
        <v>91.2</v>
      </c>
      <c r="O20" s="15">
        <f>IF(tblJobs_MAIN[[#This Row],[Area m2]]="","",ROUND(tblJobs_MAIN[[#This Row],[Area m2]]*tblJobs_MAIN[[#This Row],[S_ConsRate]],SET_ROUND_DP))</f>
        <v>19.18</v>
      </c>
      <c r="P20" s="15">
        <f>IF(tblJobs_MAIN[[#This Row],[Paper Cost]]="","",tblJobs_MAIN[[#This Row],[Paper Cost]]+tblJobs_MAIN[[#This Row],[Consumable Cost]])</f>
        <v>110.38</v>
      </c>
      <c r="Q20" s="15">
        <f>IF(tblJobs_MAIN[[#This Row],[Gross Cost]]="","",tblJobs_MAIN[[#This Row],[Gross Cost]]-tblJobs_MAIN[[#This Row],[Chargeable Cost]])</f>
        <v>0</v>
      </c>
      <c r="R20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S20" s="38"/>
      <c r="T20" s="9" t="str">
        <f>IF(tblJobs_MAIN[[#This Row],[Job ID]]="","",IF(tblJobs_MAIN[[#This Row],[H_Issues]]="","OK",MID(tblJobs_MAIN[[#This Row],[H_Issues]],3,255)))</f>
        <v>OK</v>
      </c>
      <c r="U20" s="5" t="s">
        <v>198</v>
      </c>
      <c r="V20" s="12" t="s">
        <v>197</v>
      </c>
      <c r="W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0" s="16" t="s">
        <v>93</v>
      </c>
      <c r="Y20" s="16" t="s">
        <v>116</v>
      </c>
      <c r="Z20" s="16" t="s">
        <v>77</v>
      </c>
      <c r="AA20" s="16" t="s">
        <v>52</v>
      </c>
      <c r="AB20" s="16" t="s">
        <v>50</v>
      </c>
      <c r="AC20" s="17">
        <v>11.4</v>
      </c>
      <c r="AD20" s="16">
        <v>1370</v>
      </c>
      <c r="AE20" s="16"/>
      <c r="AF20" s="17">
        <v>1.75</v>
      </c>
      <c r="AG20" s="16">
        <v>46282.666666666664</v>
      </c>
      <c r="AH20" s="16" t="s">
        <v>181</v>
      </c>
      <c r="AI20" s="16">
        <v>1</v>
      </c>
    </row>
    <row r="21" spans="1:35" x14ac:dyDescent="0.35">
      <c r="A21" s="11">
        <v>46283.427083333336</v>
      </c>
      <c r="B21" s="11"/>
      <c r="C21" s="12">
        <v>2205077</v>
      </c>
      <c r="D21" s="12" t="s">
        <v>76</v>
      </c>
      <c r="E21" s="12" t="s">
        <v>90</v>
      </c>
      <c r="F21" s="12" t="s">
        <v>113</v>
      </c>
      <c r="G21" s="20" t="str">
        <f>IF(tblJobs_MAIN[[#This Row],[S_Measure]]="","",IF(tblJobs_MAIN[[#This Row],[S_Measure]]="Sheet","sheets","metres"))</f>
        <v>metres</v>
      </c>
      <c r="H21" s="13">
        <v>3</v>
      </c>
      <c r="I21" s="39"/>
      <c r="J21" s="42"/>
      <c r="K21" s="41" t="s">
        <v>140</v>
      </c>
      <c r="L21" s="12" t="s">
        <v>140</v>
      </c>
      <c r="M21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1.83</v>
      </c>
      <c r="N21" s="15">
        <f>IF(tblJobs_MAIN[[#This Row],[Qty]]="","",ROUND(tblJobs_MAIN[[#This Row],[Qty]]*tblJobs_MAIN[[#This Row],[S_UnitCost]],SET_ROUND_DP))</f>
        <v>9.3000000000000007</v>
      </c>
      <c r="O21" s="15">
        <f>IF(tblJobs_MAIN[[#This Row],[Area m2]]="","",ROUND(tblJobs_MAIN[[#This Row],[Area m2]]*tblJobs_MAIN[[#This Row],[S_ConsRate]],SET_ROUND_DP))</f>
        <v>4.3899999999999997</v>
      </c>
      <c r="P21" s="15">
        <f>IF(tblJobs_MAIN[[#This Row],[Paper Cost]]="","",tblJobs_MAIN[[#This Row],[Paper Cost]]+tblJobs_MAIN[[#This Row],[Consumable Cost]])</f>
        <v>13.690000000000001</v>
      </c>
      <c r="Q21" s="15">
        <f>IF(tblJobs_MAIN[[#This Row],[Gross Cost]]="","",tblJobs_MAIN[[#This Row],[Gross Cost]]-tblJobs_MAIN[[#This Row],[Chargeable Cost]])</f>
        <v>0</v>
      </c>
      <c r="R21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S21" s="38"/>
      <c r="T21" s="9" t="str">
        <f>IF(tblJobs_MAIN[[#This Row],[Job ID]]="","",IF(tblJobs_MAIN[[#This Row],[H_Issues]]="","OK",MID(tblJobs_MAIN[[#This Row],[H_Issues]],3,255)))</f>
        <v>OK</v>
      </c>
      <c r="U21" s="5" t="s">
        <v>200</v>
      </c>
      <c r="V21" s="12" t="s">
        <v>199</v>
      </c>
      <c r="W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1" s="16" t="s">
        <v>89</v>
      </c>
      <c r="Y21" s="16" t="s">
        <v>112</v>
      </c>
      <c r="Z21" s="16" t="s">
        <v>75</v>
      </c>
      <c r="AA21" s="16" t="s">
        <v>49</v>
      </c>
      <c r="AB21" s="16" t="s">
        <v>50</v>
      </c>
      <c r="AC21" s="17">
        <v>3.1</v>
      </c>
      <c r="AD21" s="16">
        <v>610</v>
      </c>
      <c r="AE21" s="16"/>
      <c r="AF21" s="17">
        <v>2.4</v>
      </c>
      <c r="AG21" s="16">
        <v>46283.427083333336</v>
      </c>
      <c r="AH21" s="16" t="s">
        <v>181</v>
      </c>
      <c r="AI21" s="16">
        <v>1</v>
      </c>
    </row>
    <row r="22" spans="1:35" x14ac:dyDescent="0.35">
      <c r="A22" s="11">
        <v>46283.486111111109</v>
      </c>
      <c r="B22" s="11" t="s">
        <v>81</v>
      </c>
      <c r="C22" s="12"/>
      <c r="D22" s="12" t="s">
        <v>80</v>
      </c>
      <c r="E22" s="12" t="s">
        <v>92</v>
      </c>
      <c r="F22" s="12" t="s">
        <v>107</v>
      </c>
      <c r="G22" s="20" t="str">
        <f>IF(tblJobs_MAIN[[#This Row],[S_Measure]]="","",IF(tblJobs_MAIN[[#This Row],[S_Measure]]="Sheet","sheets","metres"))</f>
        <v>sheets</v>
      </c>
      <c r="H22" s="13">
        <v>30</v>
      </c>
      <c r="I22" s="39"/>
      <c r="J22" s="42"/>
      <c r="K22" s="41" t="s">
        <v>140</v>
      </c>
      <c r="L22" s="12" t="s">
        <v>140</v>
      </c>
      <c r="M22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7.4843999999999991</v>
      </c>
      <c r="N22" s="15">
        <f>IF(tblJobs_MAIN[[#This Row],[Qty]]="","",ROUND(tblJobs_MAIN[[#This Row],[Qty]]*tblJobs_MAIN[[#This Row],[S_UnitCost]],SET_ROUND_DP))</f>
        <v>7.2</v>
      </c>
      <c r="O22" s="15">
        <f>IF(tblJobs_MAIN[[#This Row],[Area m2]]="","",ROUND(tblJobs_MAIN[[#This Row],[Area m2]]*tblJobs_MAIN[[#This Row],[S_ConsRate]],SET_ROUND_DP))</f>
        <v>7.11</v>
      </c>
      <c r="P22" s="15">
        <f>IF(tblJobs_MAIN[[#This Row],[Paper Cost]]="","",tblJobs_MAIN[[#This Row],[Paper Cost]]+tblJobs_MAIN[[#This Row],[Consumable Cost]])</f>
        <v>14.31</v>
      </c>
      <c r="Q22" s="15">
        <f>IF(tblJobs_MAIN[[#This Row],[Gross Cost]]="","",tblJobs_MAIN[[#This Row],[Gross Cost]]-tblJobs_MAIN[[#This Row],[Chargeable Cost]])</f>
        <v>0</v>
      </c>
      <c r="R22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S22" s="38"/>
      <c r="T22" s="9" t="str">
        <f>IF(tblJobs_MAIN[[#This Row],[Job ID]]="","",IF(tblJobs_MAIN[[#This Row],[H_Issues]]="","OK",MID(tblJobs_MAIN[[#This Row],[H_Issues]],3,255)))</f>
        <v>OK</v>
      </c>
      <c r="U22" s="5" t="s">
        <v>202</v>
      </c>
      <c r="V22" s="12" t="s">
        <v>201</v>
      </c>
      <c r="W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2" s="16" t="s">
        <v>91</v>
      </c>
      <c r="Y22" s="16" t="s">
        <v>106</v>
      </c>
      <c r="Z22" s="16" t="s">
        <v>79</v>
      </c>
      <c r="AA22" s="16" t="s">
        <v>47</v>
      </c>
      <c r="AB22" s="16" t="s">
        <v>47</v>
      </c>
      <c r="AC22" s="17">
        <v>0.24</v>
      </c>
      <c r="AD22" s="16">
        <v>420</v>
      </c>
      <c r="AE22" s="16">
        <v>594</v>
      </c>
      <c r="AF22" s="17">
        <v>0.95</v>
      </c>
      <c r="AG22" s="16">
        <v>46283.486111111109</v>
      </c>
      <c r="AH22" s="16" t="s">
        <v>181</v>
      </c>
      <c r="AI22" s="16">
        <v>1</v>
      </c>
    </row>
    <row r="23" spans="1:35" x14ac:dyDescent="0.35">
      <c r="A23" s="11">
        <v>46283.638888888891</v>
      </c>
      <c r="B23" s="11" t="s">
        <v>193</v>
      </c>
      <c r="C23" s="12">
        <v>2204521</v>
      </c>
      <c r="D23" s="12" t="s">
        <v>78</v>
      </c>
      <c r="E23" s="12" t="s">
        <v>88</v>
      </c>
      <c r="F23" s="12" t="s">
        <v>119</v>
      </c>
      <c r="G23" s="20" t="str">
        <f>IF(tblJobs_MAIN[[#This Row],[S_Measure]]="","",IF(tblJobs_MAIN[[#This Row],[S_Measure]]="Sheet","sheets","metres"))</f>
        <v>metres</v>
      </c>
      <c r="H23" s="13">
        <v>20</v>
      </c>
      <c r="I23" s="39"/>
      <c r="J23" s="42"/>
      <c r="K23" s="41" t="s">
        <v>140</v>
      </c>
      <c r="L23" s="12" t="s">
        <v>140</v>
      </c>
      <c r="M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21.34</v>
      </c>
      <c r="N23" s="15">
        <f>IF(tblJobs_MAIN[[#This Row],[Qty]]="","",ROUND(tblJobs_MAIN[[#This Row],[Qty]]*tblJobs_MAIN[[#This Row],[S_UnitCost]],SET_ROUND_DP))</f>
        <v>112</v>
      </c>
      <c r="O23" s="15">
        <f>IF(tblJobs_MAIN[[#This Row],[Area m2]]="","",ROUND(tblJobs_MAIN[[#This Row],[Area m2]]*tblJobs_MAIN[[#This Row],[S_ConsRate]],SET_ROUND_DP))</f>
        <v>60.82</v>
      </c>
      <c r="P23" s="15">
        <f>IF(tblJobs_MAIN[[#This Row],[Paper Cost]]="","",tblJobs_MAIN[[#This Row],[Paper Cost]]+tblJobs_MAIN[[#This Row],[Consumable Cost]])</f>
        <v>172.82</v>
      </c>
      <c r="Q23" s="15">
        <f>IF(tblJobs_MAIN[[#This Row],[Gross Cost]]="","",tblJobs_MAIN[[#This Row],[Gross Cost]]-tblJobs_MAIN[[#This Row],[Chargeable Cost]])</f>
        <v>0</v>
      </c>
      <c r="R23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S23" s="38"/>
      <c r="T23" s="9" t="str">
        <f>IF(tblJobs_MAIN[[#This Row],[Job ID]]="","",IF(tblJobs_MAIN[[#This Row],[H_Issues]]="","OK",MID(tblJobs_MAIN[[#This Row],[H_Issues]],3,255)))</f>
        <v>OK</v>
      </c>
      <c r="U23" s="5" t="s">
        <v>204</v>
      </c>
      <c r="V23" s="12" t="s">
        <v>203</v>
      </c>
      <c r="W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3" s="16" t="s">
        <v>87</v>
      </c>
      <c r="Y23" s="16" t="s">
        <v>118</v>
      </c>
      <c r="Z23" s="16" t="s">
        <v>77</v>
      </c>
      <c r="AA23" s="16" t="s">
        <v>52</v>
      </c>
      <c r="AB23" s="16" t="s">
        <v>50</v>
      </c>
      <c r="AC23" s="17">
        <v>5.6</v>
      </c>
      <c r="AD23" s="16">
        <v>1067</v>
      </c>
      <c r="AE23" s="16"/>
      <c r="AF23" s="17">
        <v>2.85</v>
      </c>
      <c r="AG23" s="16">
        <v>46283.638888888891</v>
      </c>
      <c r="AH23" s="16" t="s">
        <v>181</v>
      </c>
      <c r="AI23" s="16">
        <v>1</v>
      </c>
    </row>
    <row r="24" spans="1:35" x14ac:dyDescent="0.35">
      <c r="A24" s="11">
        <v>46284.34375</v>
      </c>
      <c r="B24" s="11" t="s">
        <v>185</v>
      </c>
      <c r="C24" s="12">
        <v>2203110</v>
      </c>
      <c r="D24" s="12" t="s">
        <v>76</v>
      </c>
      <c r="E24" s="12" t="s">
        <v>92</v>
      </c>
      <c r="F24" s="12" t="s">
        <v>104</v>
      </c>
      <c r="G24" s="20" t="str">
        <f>IF(tblJobs_MAIN[[#This Row],[S_Measure]]="","",IF(tblJobs_MAIN[[#This Row],[S_Measure]]="Sheet","sheets","metres"))</f>
        <v>sheets</v>
      </c>
      <c r="H24" s="13">
        <v>40</v>
      </c>
      <c r="I24" s="39"/>
      <c r="J24" s="42"/>
      <c r="K24" s="41" t="s">
        <v>140</v>
      </c>
      <c r="L24" s="12" t="s">
        <v>140</v>
      </c>
      <c r="M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19.982159999999997</v>
      </c>
      <c r="N24" s="15">
        <f>IF(tblJobs_MAIN[[#This Row],[Qty]]="","",ROUND(tblJobs_MAIN[[#This Row],[Qty]]*tblJobs_MAIN[[#This Row],[S_UnitCost]],SET_ROUND_DP))</f>
        <v>16.8</v>
      </c>
      <c r="O24" s="15">
        <f>IF(tblJobs_MAIN[[#This Row],[Area m2]]="","",ROUND(tblJobs_MAIN[[#This Row],[Area m2]]*tblJobs_MAIN[[#This Row],[S_ConsRate]],SET_ROUND_DP))</f>
        <v>18.98</v>
      </c>
      <c r="P24" s="15">
        <f>IF(tblJobs_MAIN[[#This Row],[Paper Cost]]="","",tblJobs_MAIN[[#This Row],[Paper Cost]]+tblJobs_MAIN[[#This Row],[Consumable Cost]])</f>
        <v>35.78</v>
      </c>
      <c r="Q24" s="15">
        <f>IF(tblJobs_MAIN[[#This Row],[Gross Cost]]="","",tblJobs_MAIN[[#This Row],[Gross Cost]]-tblJobs_MAIN[[#This Row],[Chargeable Cost]])</f>
        <v>0</v>
      </c>
      <c r="R2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S24" s="38"/>
      <c r="T24" s="9" t="str">
        <f>IF(tblJobs_MAIN[[#This Row],[Job ID]]="","",IF(tblJobs_MAIN[[#This Row],[H_Issues]]="","OK",MID(tblJobs_MAIN[[#This Row],[H_Issues]],3,255)))</f>
        <v>OK</v>
      </c>
      <c r="U24" s="5" t="s">
        <v>206</v>
      </c>
      <c r="V24" s="12" t="s">
        <v>208</v>
      </c>
      <c r="W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4" s="16" t="s">
        <v>91</v>
      </c>
      <c r="Y24" s="16" t="s">
        <v>103</v>
      </c>
      <c r="Z24" s="16" t="s">
        <v>75</v>
      </c>
      <c r="AA24" s="16" t="s">
        <v>47</v>
      </c>
      <c r="AB24" s="16" t="s">
        <v>47</v>
      </c>
      <c r="AC24" s="17">
        <v>0.42</v>
      </c>
      <c r="AD24" s="16">
        <v>594</v>
      </c>
      <c r="AE24" s="16">
        <v>841</v>
      </c>
      <c r="AF24" s="17">
        <v>0.95</v>
      </c>
      <c r="AG24" s="16">
        <v>46284.34375</v>
      </c>
      <c r="AH24" s="16" t="s">
        <v>181</v>
      </c>
      <c r="AI24" s="16">
        <v>1</v>
      </c>
    </row>
    <row r="25" spans="1:35" x14ac:dyDescent="0.35">
      <c r="A25" s="11">
        <v>46284.395833333336</v>
      </c>
      <c r="B25" s="11"/>
      <c r="C25" s="12"/>
      <c r="D25" s="12" t="s">
        <v>76</v>
      </c>
      <c r="E25" s="12" t="s">
        <v>88</v>
      </c>
      <c r="F25" s="12" t="s">
        <v>115</v>
      </c>
      <c r="G25" s="20" t="str">
        <f>IF(tblJobs_MAIN[[#This Row],[S_Measure]]="","",IF(tblJobs_MAIN[[#This Row],[S_Measure]]="Sheet","sheets","metres"))</f>
        <v>metres</v>
      </c>
      <c r="H25" s="13">
        <v>12</v>
      </c>
      <c r="I25" s="39">
        <v>1200</v>
      </c>
      <c r="J25" s="42"/>
      <c r="K25" s="41" t="s">
        <v>140</v>
      </c>
      <c r="L25" s="12" t="s">
        <v>140</v>
      </c>
      <c r="M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Row],[Qty]]))</f>
        <v>14.399999999999999</v>
      </c>
      <c r="N25" s="15">
        <f>IF(tblJobs_MAIN[[#This Row],[Qty]]="","",ROUND(tblJobs_MAIN[[#This Row],[Qty]]*tblJobs_MAIN[[#This Row],[S_UnitCost]],SET_ROUND_DP))</f>
        <v>105</v>
      </c>
      <c r="O25" s="15">
        <f>IF(tblJobs_MAIN[[#This Row],[Area m2]]="","",ROUND(tblJobs_MAIN[[#This Row],[Area m2]]*tblJobs_MAIN[[#This Row],[S_ConsRate]],SET_ROUND_DP))</f>
        <v>41.04</v>
      </c>
      <c r="P25" s="15">
        <f>IF(tblJobs_MAIN[[#This Row],[Paper Cost]]="","",tblJobs_MAIN[[#This Row],[Paper Cost]]+tblJobs_MAIN[[#This Row],[Consumable Cost]])</f>
        <v>146.04</v>
      </c>
      <c r="Q25" s="15">
        <f>IF(tblJobs_MAIN[[#This Row],[Gross Cost]]="","",tblJobs_MAIN[[#This Row],[Gross Cost]]-tblJobs_MAIN[[#This Row],[Chargeable Cost]])</f>
        <v>0</v>
      </c>
      <c r="R2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S25" s="38"/>
      <c r="T25" s="9" t="str">
        <f>IF(tblJobs_MAIN[[#This Row],[Job ID]]="","",IF(tblJobs_MAIN[[#This Row],[H_Issues]]="","OK",MID(tblJobs_MAIN[[#This Row],[H_Issues]],3,255)))</f>
        <v>Student name or number required; Print width exceeds stock width</v>
      </c>
      <c r="U25" s="5" t="s">
        <v>207</v>
      </c>
      <c r="V25" s="12" t="s">
        <v>205</v>
      </c>
      <c r="W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X25" s="16" t="s">
        <v>87</v>
      </c>
      <c r="Y25" s="16" t="s">
        <v>114</v>
      </c>
      <c r="Z25" s="16" t="s">
        <v>75</v>
      </c>
      <c r="AA25" s="16" t="s">
        <v>52</v>
      </c>
      <c r="AB25" s="16" t="s">
        <v>50</v>
      </c>
      <c r="AC25" s="17">
        <v>8.75</v>
      </c>
      <c r="AD25" s="16">
        <v>914</v>
      </c>
      <c r="AE25" s="16"/>
      <c r="AF25" s="17">
        <v>2.85</v>
      </c>
      <c r="AG25" s="16">
        <v>46284.395833333336</v>
      </c>
      <c r="AH25" s="16" t="s">
        <v>181</v>
      </c>
      <c r="AI25" s="16">
        <v>1</v>
      </c>
    </row>
  </sheetData>
  <sheetProtection formatColumns="0" formatRows="0" sort="0" autoFilter="0"/>
  <conditionalFormatting sqref="T14:T25">
    <cfRule type="expression" dxfId="0" priority="1" stopIfTrue="1">
      <formula>AND(T14&lt;&gt;"",T14&lt;&gt;"OK")</formula>
    </cfRule>
  </conditionalFormatting>
  <dataValidations count="14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26:D2008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26:E2008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26:F2008" xr:uid="{00000000-0002-0000-0900-000002000000}">
      <formula1>lstStocks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26:H2008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26:I2008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4:A2008" xr:uid="{00000000-0002-0000-0900-000007000000}">
      <formula1>36526</formula1>
    </dataValidation>
    <dataValidation type="list" showInputMessage="1" showErrorMessage="1" errorTitle="Disregard paper cost" error="Choose Yes or No." promptTitle="Disregard paper cost" prompt="Sets what new print jobs on this sheet start with. Changing it never alters jobs already recorded." sqref="AM3" xr:uid="{7D42968D-0BC8-4693-AA95-2C2F2181E6E2}">
      <formula1>"Yes,No"</formula1>
    </dataValidation>
    <dataValidation type="list" showInputMessage="1" showErrorMessage="1" errorTitle="Disregard consumable cost" error="Choose Yes or No." promptTitle="Disregard consumable cost" prompt="Sets what new print jobs on this sheet start with. Changing it never alters jobs already recorded." sqref="AM4" xr:uid="{01C85708-438D-4BA1-BAA4-F8497FA31FE8}">
      <formula1>"Yes,No"</formula1>
    </dataValidation>
    <dataValidation type="list" allowBlank="1" showInputMessage="1" showErrorMessage="1" sqref="J26:K2008 K14:K25 L14:L25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6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H14:H25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I14:I25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J14:J25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S14:S25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D14:D25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F20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F21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F14 F18:F19 F22 F24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F15:F17 F23 F25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E19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E20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E17 E21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E15:E16 E25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B3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B5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71</v>
      </c>
    </row>
    <row r="2" spans="1:4" x14ac:dyDescent="0.35">
      <c r="A2" s="2" t="s">
        <v>72</v>
      </c>
    </row>
    <row r="6" spans="1:4" x14ac:dyDescent="0.35">
      <c r="A6" s="4" t="s">
        <v>73</v>
      </c>
      <c r="B6" s="4" t="s">
        <v>74</v>
      </c>
      <c r="C6" s="4" t="s">
        <v>19</v>
      </c>
      <c r="D6" s="4" t="s">
        <v>36</v>
      </c>
    </row>
    <row r="7" spans="1:4" x14ac:dyDescent="0.35">
      <c r="A7" s="33" t="s">
        <v>75</v>
      </c>
      <c r="B7" s="27" t="s">
        <v>76</v>
      </c>
      <c r="C7" s="27" t="s">
        <v>20</v>
      </c>
      <c r="D7" s="27" t="s">
        <v>38</v>
      </c>
    </row>
    <row r="8" spans="1:4" x14ac:dyDescent="0.35">
      <c r="A8" s="33" t="s">
        <v>77</v>
      </c>
      <c r="B8" s="27" t="s">
        <v>78</v>
      </c>
      <c r="C8" s="27" t="s">
        <v>20</v>
      </c>
      <c r="D8" s="27" t="s">
        <v>38</v>
      </c>
    </row>
    <row r="9" spans="1:4" x14ac:dyDescent="0.35">
      <c r="A9" s="33" t="s">
        <v>79</v>
      </c>
      <c r="B9" s="27" t="s">
        <v>80</v>
      </c>
      <c r="C9" s="27" t="s">
        <v>81</v>
      </c>
      <c r="D9" s="27" t="s">
        <v>38</v>
      </c>
    </row>
  </sheetData>
  <sheetProtection formatColumns="0" formatRows="0" sort="0" autoFilter="0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showGridLines="0" workbookViewId="0"/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82</v>
      </c>
    </row>
    <row r="2" spans="1:8" x14ac:dyDescent="0.35">
      <c r="A2" s="2" t="s">
        <v>83</v>
      </c>
    </row>
    <row r="4" spans="1:8" x14ac:dyDescent="0.35">
      <c r="H4" s="2" t="s">
        <v>240</v>
      </c>
    </row>
    <row r="5" spans="1:8" x14ac:dyDescent="0.35">
      <c r="H5" s="2"/>
    </row>
    <row r="6" spans="1:8" ht="29" x14ac:dyDescent="0.35">
      <c r="A6" s="4" t="s">
        <v>84</v>
      </c>
      <c r="B6" s="4" t="s">
        <v>85</v>
      </c>
      <c r="C6" s="4" t="s">
        <v>64</v>
      </c>
      <c r="D6" s="4" t="s">
        <v>86</v>
      </c>
      <c r="E6" s="24" t="s">
        <v>238</v>
      </c>
      <c r="F6" s="24" t="s">
        <v>239</v>
      </c>
      <c r="G6" s="4" t="s">
        <v>36</v>
      </c>
    </row>
    <row r="7" spans="1:8" x14ac:dyDescent="0.35">
      <c r="A7" s="33" t="s">
        <v>87</v>
      </c>
      <c r="B7" s="27" t="s">
        <v>88</v>
      </c>
      <c r="C7" s="27" t="s">
        <v>65</v>
      </c>
      <c r="D7" s="23">
        <v>2.85</v>
      </c>
      <c r="E7" s="25">
        <v>1370</v>
      </c>
      <c r="F7" s="26"/>
      <c r="G7" s="27" t="s">
        <v>38</v>
      </c>
    </row>
    <row r="8" spans="1:8" x14ac:dyDescent="0.35">
      <c r="A8" s="33" t="s">
        <v>89</v>
      </c>
      <c r="B8" s="27" t="s">
        <v>90</v>
      </c>
      <c r="C8" s="27" t="s">
        <v>65</v>
      </c>
      <c r="D8" s="23">
        <v>2.4</v>
      </c>
      <c r="E8" s="26">
        <v>610</v>
      </c>
      <c r="F8" s="26"/>
      <c r="G8" s="27" t="s">
        <v>38</v>
      </c>
    </row>
    <row r="9" spans="1:8" x14ac:dyDescent="0.35">
      <c r="A9" s="33" t="s">
        <v>91</v>
      </c>
      <c r="B9" s="27" t="s">
        <v>92</v>
      </c>
      <c r="C9" s="27" t="s">
        <v>66</v>
      </c>
      <c r="D9" s="23">
        <v>0.95</v>
      </c>
      <c r="E9" s="26"/>
      <c r="F9" s="26" t="s">
        <v>58</v>
      </c>
      <c r="G9" s="27" t="s">
        <v>38</v>
      </c>
    </row>
    <row r="10" spans="1:8" x14ac:dyDescent="0.35">
      <c r="A10" s="33" t="s">
        <v>93</v>
      </c>
      <c r="B10" s="27" t="s">
        <v>94</v>
      </c>
      <c r="C10" s="27" t="s">
        <v>68</v>
      </c>
      <c r="D10" s="23">
        <v>1.75</v>
      </c>
      <c r="E10" s="26">
        <v>1370</v>
      </c>
      <c r="F10" s="26"/>
      <c r="G10" s="27" t="s">
        <v>38</v>
      </c>
    </row>
  </sheetData>
  <sheetProtection formatColumns="0" formatRows="0" sort="0" autoFilter="0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list" allowBlank="1" showInputMessage="1" showErrorMessage="1" sqref="F11:F2001 G7:G10" xr:uid="{00000000-0002-0000-0200-000002000000}">
      <formula1>"Yes,No"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E7:E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F7:F10" xr:uid="{B526154C-BEC4-4000-8C38-838E3A63AF21}">
      <formula1>RNG_STD_SIZES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17"/>
  <sheetViews>
    <sheetView showGridLines="0" workbookViewId="0">
      <selection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95</v>
      </c>
    </row>
    <row r="2" spans="1:14" x14ac:dyDescent="0.35">
      <c r="A2" s="2" t="s">
        <v>96</v>
      </c>
    </row>
    <row r="4" spans="1:14" x14ac:dyDescent="0.35">
      <c r="N4" s="2" t="s">
        <v>123</v>
      </c>
    </row>
    <row r="5" spans="1:14" x14ac:dyDescent="0.35">
      <c r="N5" s="2"/>
    </row>
    <row r="6" spans="1:14" ht="43.5" x14ac:dyDescent="0.35">
      <c r="A6" s="4" t="s">
        <v>97</v>
      </c>
      <c r="B6" s="4" t="s">
        <v>98</v>
      </c>
      <c r="C6" s="4" t="s">
        <v>35</v>
      </c>
      <c r="D6" s="4" t="s">
        <v>45</v>
      </c>
      <c r="E6" s="4" t="s">
        <v>99</v>
      </c>
      <c r="F6" s="4" t="s">
        <v>100</v>
      </c>
      <c r="G6" s="4" t="s">
        <v>237</v>
      </c>
      <c r="H6" s="4" t="s">
        <v>55</v>
      </c>
      <c r="I6" s="4" t="s">
        <v>56</v>
      </c>
      <c r="J6" s="4" t="s">
        <v>101</v>
      </c>
      <c r="K6" s="4" t="s">
        <v>102</v>
      </c>
      <c r="L6" s="4" t="s">
        <v>36</v>
      </c>
      <c r="M6" s="22" t="s">
        <v>241</v>
      </c>
    </row>
    <row r="7" spans="1:14" x14ac:dyDescent="0.35">
      <c r="A7" s="33" t="s">
        <v>103</v>
      </c>
      <c r="B7" s="27" t="s">
        <v>104</v>
      </c>
      <c r="C7" s="27" t="s">
        <v>40</v>
      </c>
      <c r="D7" s="27" t="s">
        <v>47</v>
      </c>
      <c r="E7" s="20" t="str">
        <f>IF(tblPapers[[#This Row],[Family]]="","",IFERROR(INDEX(tblPaperFamilies[Measurement basis],MATCH(tblPapers[[#This Row],[Family]],tblPaperFamilies[Family],0)),"?"))</f>
        <v>Sheet</v>
      </c>
      <c r="F7" s="27" t="s">
        <v>105</v>
      </c>
      <c r="G7" s="27" t="s">
        <v>58</v>
      </c>
      <c r="H7" s="8">
        <v>594</v>
      </c>
      <c r="I7" s="8">
        <v>841</v>
      </c>
      <c r="J7" s="10">
        <v>0.42</v>
      </c>
      <c r="K7" s="20" t="str">
        <f>IF(tblPapers[[#This Row],[Measure]]="","",IF(tblPapers[[#This Row],[Measure]]="Sheet","£ per sheet","£ per metre"))</f>
        <v>£ per sheet</v>
      </c>
      <c r="L7" s="27" t="s">
        <v>38</v>
      </c>
      <c r="M7" s="28" t="s">
        <v>140</v>
      </c>
    </row>
    <row r="8" spans="1:14" x14ac:dyDescent="0.35">
      <c r="A8" s="33" t="s">
        <v>106</v>
      </c>
      <c r="B8" s="27" t="s">
        <v>107</v>
      </c>
      <c r="C8" s="27" t="s">
        <v>40</v>
      </c>
      <c r="D8" s="27" t="s">
        <v>47</v>
      </c>
      <c r="E8" s="20" t="str">
        <f>IF(tblPapers[[#This Row],[Family]]="","",IFERROR(INDEX(tblPaperFamilies[Measurement basis],MATCH(tblPapers[[#This Row],[Family]],tblPaperFamilies[Family],0)),"?"))</f>
        <v>Sheet</v>
      </c>
      <c r="F8" s="27" t="s">
        <v>105</v>
      </c>
      <c r="G8" s="27" t="s">
        <v>59</v>
      </c>
      <c r="H8" s="8">
        <v>420</v>
      </c>
      <c r="I8" s="8">
        <v>594</v>
      </c>
      <c r="J8" s="10">
        <v>0.24</v>
      </c>
      <c r="K8" s="20" t="str">
        <f>IF(tblPapers[[#This Row],[Measure]]="","",IF(tblPapers[[#This Row],[Measure]]="Sheet","£ per sheet","£ per metre"))</f>
        <v>£ per sheet</v>
      </c>
      <c r="L8" s="27" t="s">
        <v>38</v>
      </c>
      <c r="M8" s="28" t="s">
        <v>140</v>
      </c>
    </row>
    <row r="9" spans="1:14" x14ac:dyDescent="0.35">
      <c r="A9" s="33" t="s">
        <v>108</v>
      </c>
      <c r="B9" s="27" t="s">
        <v>109</v>
      </c>
      <c r="C9" s="27" t="s">
        <v>39</v>
      </c>
      <c r="D9" s="27" t="s">
        <v>47</v>
      </c>
      <c r="E9" s="20" t="str">
        <f>IF(tblPapers[[#This Row],[Family]]="","",IFERROR(INDEX(tblPaperFamilies[Measurement basis],MATCH(tblPapers[[#This Row],[Family]],tblPaperFamilies[Family],0)),"?"))</f>
        <v>Sheet</v>
      </c>
      <c r="F9" s="27" t="s">
        <v>105</v>
      </c>
      <c r="G9" s="27" t="s">
        <v>62</v>
      </c>
      <c r="H9" s="8">
        <v>320</v>
      </c>
      <c r="I9" s="8">
        <v>450</v>
      </c>
      <c r="J9" s="10">
        <v>0.31</v>
      </c>
      <c r="K9" s="20" t="str">
        <f>IF(tblPapers[[#This Row],[Measure]]="","",IF(tblPapers[[#This Row],[Measure]]="Sheet","£ per sheet","£ per metre"))</f>
        <v>£ per sheet</v>
      </c>
      <c r="L9" s="27" t="s">
        <v>38</v>
      </c>
      <c r="M9" s="28" t="s">
        <v>140</v>
      </c>
    </row>
    <row r="10" spans="1:14" x14ac:dyDescent="0.35">
      <c r="A10" s="33" t="s">
        <v>110</v>
      </c>
      <c r="B10" s="27" t="s">
        <v>111</v>
      </c>
      <c r="C10" s="27" t="s">
        <v>43</v>
      </c>
      <c r="D10" s="27" t="s">
        <v>47</v>
      </c>
      <c r="E10" s="20" t="str">
        <f>IF(tblPapers[[#This Row],[Family]]="","",IFERROR(INDEX(tblPaperFamilies[Measurement basis],MATCH(tblPapers[[#This Row],[Family]],tblPaperFamilies[Family],0)),"?"))</f>
        <v>Sheet</v>
      </c>
      <c r="F10" s="27" t="s">
        <v>105</v>
      </c>
      <c r="G10" s="27" t="s">
        <v>60</v>
      </c>
      <c r="H10" s="8">
        <v>297</v>
      </c>
      <c r="I10" s="8">
        <v>420</v>
      </c>
      <c r="J10" s="10">
        <v>0.09</v>
      </c>
      <c r="K10" s="20" t="str">
        <f>IF(tblPapers[[#This Row],[Measure]]="","",IF(tblPapers[[#This Row],[Measure]]="Sheet","£ per sheet","£ per metre"))</f>
        <v>£ per sheet</v>
      </c>
      <c r="L10" s="27" t="s">
        <v>38</v>
      </c>
      <c r="M10" s="28" t="s">
        <v>140</v>
      </c>
    </row>
    <row r="11" spans="1:14" x14ac:dyDescent="0.35">
      <c r="A11" s="33" t="s">
        <v>112</v>
      </c>
      <c r="B11" s="27" t="s">
        <v>113</v>
      </c>
      <c r="C11" s="27" t="s">
        <v>42</v>
      </c>
      <c r="D11" s="27" t="s">
        <v>50</v>
      </c>
      <c r="E11" s="20" t="str">
        <f>IF(tblPapers[[#This Row],[Family]]="","",IFERROR(INDEX(tblPaperFamilies[Measurement basis],MATCH(tblPapers[[#This Row],[Family]],tblPaperFamilies[Family],0)),"?"))</f>
        <v>Roll</v>
      </c>
      <c r="F11" s="27" t="s">
        <v>50</v>
      </c>
      <c r="G11" s="27"/>
      <c r="H11" s="8">
        <v>610</v>
      </c>
      <c r="I11" s="8"/>
      <c r="J11" s="10">
        <v>3.1</v>
      </c>
      <c r="K11" s="20" t="str">
        <f>IF(tblPapers[[#This Row],[Measure]]="","",IF(tblPapers[[#This Row],[Measure]]="Sheet","£ per sheet","£ per metre"))</f>
        <v>£ per metre</v>
      </c>
      <c r="L11" s="27" t="s">
        <v>38</v>
      </c>
      <c r="M11" s="28" t="s">
        <v>140</v>
      </c>
    </row>
    <row r="12" spans="1:14" x14ac:dyDescent="0.35">
      <c r="A12" s="33" t="s">
        <v>114</v>
      </c>
      <c r="B12" s="27" t="s">
        <v>115</v>
      </c>
      <c r="C12" s="27" t="s">
        <v>41</v>
      </c>
      <c r="D12" s="27" t="s">
        <v>50</v>
      </c>
      <c r="E12" s="20" t="str">
        <f>IF(tblPapers[[#This Row],[Family]]="","",IFERROR(INDEX(tblPaperFamilies[Measurement basis],MATCH(tblPapers[[#This Row],[Family]],tblPaperFamilies[Family],0)),"?"))</f>
        <v>Roll</v>
      </c>
      <c r="F12" s="27" t="s">
        <v>50</v>
      </c>
      <c r="G12" s="27"/>
      <c r="H12" s="8">
        <v>914</v>
      </c>
      <c r="I12" s="8"/>
      <c r="J12" s="10">
        <v>8.75</v>
      </c>
      <c r="K12" s="20" t="str">
        <f>IF(tblPapers[[#This Row],[Measure]]="","",IF(tblPapers[[#This Row],[Measure]]="Sheet","£ per sheet","£ per metre"))</f>
        <v>£ per metre</v>
      </c>
      <c r="L12" s="27" t="s">
        <v>38</v>
      </c>
      <c r="M12" s="28" t="s">
        <v>140</v>
      </c>
    </row>
    <row r="13" spans="1:14" x14ac:dyDescent="0.35">
      <c r="A13" s="33" t="s">
        <v>116</v>
      </c>
      <c r="B13" s="27" t="s">
        <v>117</v>
      </c>
      <c r="C13" s="27" t="s">
        <v>37</v>
      </c>
      <c r="D13" s="27" t="s">
        <v>50</v>
      </c>
      <c r="E13" s="20" t="str">
        <f>IF(tblPapers[[#This Row],[Family]]="","",IFERROR(INDEX(tblPaperFamilies[Measurement basis],MATCH(tblPapers[[#This Row],[Family]],tblPaperFamilies[Family],0)),"?"))</f>
        <v>Roll</v>
      </c>
      <c r="F13" s="27" t="s">
        <v>50</v>
      </c>
      <c r="G13" s="27"/>
      <c r="H13" s="8">
        <v>1370</v>
      </c>
      <c r="I13" s="8"/>
      <c r="J13" s="10">
        <v>11.4</v>
      </c>
      <c r="K13" s="20" t="str">
        <f>IF(tblPapers[[#This Row],[Measure]]="","",IF(tblPapers[[#This Row],[Measure]]="Sheet","£ per sheet","£ per metre"))</f>
        <v>£ per metre</v>
      </c>
      <c r="L13" s="27" t="s">
        <v>38</v>
      </c>
      <c r="M13" s="28" t="s">
        <v>140</v>
      </c>
    </row>
    <row r="14" spans="1:14" x14ac:dyDescent="0.35">
      <c r="A14" s="33" t="s">
        <v>118</v>
      </c>
      <c r="B14" s="27" t="s">
        <v>119</v>
      </c>
      <c r="C14" s="27" t="s">
        <v>40</v>
      </c>
      <c r="D14" s="27" t="s">
        <v>50</v>
      </c>
      <c r="E14" s="20" t="str">
        <f>IF(tblPapers[[#This Row],[Family]]="","",IFERROR(INDEX(tblPaperFamilies[Measurement basis],MATCH(tblPapers[[#This Row],[Family]],tblPaperFamilies[Family],0)),"?"))</f>
        <v>Roll</v>
      </c>
      <c r="F14" s="27" t="s">
        <v>50</v>
      </c>
      <c r="G14" s="27"/>
      <c r="H14" s="8">
        <v>1067</v>
      </c>
      <c r="I14" s="8"/>
      <c r="J14" s="10">
        <v>5.6</v>
      </c>
      <c r="K14" s="20" t="str">
        <f>IF(tblPapers[[#This Row],[Measure]]="","",IF(tblPapers[[#This Row],[Measure]]="Sheet","£ per sheet","£ per metre"))</f>
        <v>£ per metre</v>
      </c>
      <c r="L14" s="27" t="s">
        <v>38</v>
      </c>
      <c r="M14" s="28" t="s">
        <v>140</v>
      </c>
    </row>
    <row r="15" spans="1:14" x14ac:dyDescent="0.35">
      <c r="A15" s="33" t="s">
        <v>120</v>
      </c>
      <c r="B15" s="27" t="s">
        <v>121</v>
      </c>
      <c r="C15" s="27" t="s">
        <v>39</v>
      </c>
      <c r="D15" s="27" t="s">
        <v>47</v>
      </c>
      <c r="E15" s="20" t="str">
        <f>IF(tblPapers[[#This Row],[Family]]="","",IFERROR(INDEX(tblPaperFamilies[Measurement basis],MATCH(tblPapers[[#This Row],[Family]],tblPaperFamilies[Family],0)),"?"))</f>
        <v>Sheet</v>
      </c>
      <c r="F15" s="27" t="s">
        <v>122</v>
      </c>
      <c r="G15" s="27"/>
      <c r="H15" s="8">
        <v>320</v>
      </c>
      <c r="I15" s="8">
        <v>450</v>
      </c>
      <c r="J15" s="10">
        <v>0.18</v>
      </c>
      <c r="K15" s="20" t="str">
        <f>IF(tblPapers[[#This Row],[Measure]]="","",IF(tblPapers[[#This Row],[Measure]]="Sheet","£ per sheet","£ per metre"))</f>
        <v>£ per sheet</v>
      </c>
      <c r="L15" s="27" t="s">
        <v>38</v>
      </c>
      <c r="M15" s="28" t="s">
        <v>140</v>
      </c>
    </row>
    <row r="16" spans="1:14" x14ac:dyDescent="0.35">
      <c r="A16" s="33" t="s">
        <v>242</v>
      </c>
      <c r="B16" s="27" t="s">
        <v>243</v>
      </c>
      <c r="C16" s="27" t="s">
        <v>244</v>
      </c>
      <c r="D16" s="27" t="s">
        <v>50</v>
      </c>
      <c r="E16" s="20" t="str">
        <f>IF(tblPapers[[#This Row],[Family]]="","",IFERROR(INDEX(tblPaperFamilies[Measurement basis],MATCH(tblPapers[[#This Row],[Family]],tblPaperFamilies[Family],0)),"?"))</f>
        <v>Roll</v>
      </c>
      <c r="F16" s="27"/>
      <c r="G16" s="27"/>
      <c r="H16" s="8"/>
      <c r="I16" s="8"/>
      <c r="J16" s="10">
        <v>0</v>
      </c>
      <c r="K16" s="20" t="str">
        <f>IF(tblPapers[[#This Row],[Measure]]="","",IF(tblPapers[[#This Row],[Measure]]="Sheet","£ per sheet","£ per metre"))</f>
        <v>£ per metre</v>
      </c>
      <c r="L16" s="27" t="s">
        <v>38</v>
      </c>
      <c r="M16" s="28" t="s">
        <v>38</v>
      </c>
    </row>
    <row r="17" spans="1:13" x14ac:dyDescent="0.35">
      <c r="A17" s="33" t="s">
        <v>245</v>
      </c>
      <c r="B17" s="27" t="s">
        <v>246</v>
      </c>
      <c r="C17" s="27" t="s">
        <v>244</v>
      </c>
      <c r="D17" s="27" t="s">
        <v>47</v>
      </c>
      <c r="E17" s="20" t="str">
        <f>IF(tblPapers[[#This Row],[Family]]="","",IFERROR(INDEX(tblPaperFamilies[Measurement basis],MATCH(tblPapers[[#This Row],[Family]],tblPaperFamilies[Family],0)),"?"))</f>
        <v>Sheet</v>
      </c>
      <c r="F17" s="27"/>
      <c r="G17" s="27"/>
      <c r="H17" s="8"/>
      <c r="I17" s="8"/>
      <c r="J17" s="10">
        <v>0</v>
      </c>
      <c r="K17" s="20" t="str">
        <f>IF(tblPapers[[#This Row],[Measure]]="","",IF(tblPapers[[#This Row],[Measure]]="Sheet","£ per sheet","£ per metre"))</f>
        <v>£ per sheet</v>
      </c>
      <c r="L17" s="27" t="s">
        <v>38</v>
      </c>
      <c r="M17" s="28" t="s">
        <v>38</v>
      </c>
    </row>
  </sheetData>
  <sheetProtection formatColumns="0" formatRows="0" sort="0" autoFilter="0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M7:M17" xr:uid="{2ED70CBA-D9C3-4CB5-A147-78652DAACDC7}">
      <formula1>"Yes,No"</formula1>
    </dataValidation>
    <dataValidation type="list" allowBlank="1" showInputMessage="1" showErrorMessage="1" sqref="C7:C2003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7:D2003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7:F2003" xr:uid="{00000000-0002-0000-0300-000002000000}">
      <formula1>"Standard,Custom sheet,Roll"</formula1>
    </dataValidation>
    <dataValidation type="list" allowBlank="1" showInputMessage="1" showErrorMessage="1" sqref="G7:G2003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7:H2003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7:I2003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7:J2003" xr:uid="{00000000-0002-0000-0300-000006000000}">
      <formula1>0</formula1>
    </dataValidation>
    <dataValidation type="list" allowBlank="1" showInputMessage="1" showErrorMessage="1" sqref="L7:L2003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20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69</v>
      </c>
    </row>
    <row r="3" spans="1:20" x14ac:dyDescent="0.35">
      <c r="T3" s="2" t="s">
        <v>70</v>
      </c>
    </row>
    <row r="4" spans="1:20" x14ac:dyDescent="0.35">
      <c r="A4" s="3" t="s">
        <v>2</v>
      </c>
      <c r="F4" s="3" t="s">
        <v>34</v>
      </c>
      <c r="I4" s="3" t="s">
        <v>44</v>
      </c>
      <c r="M4" s="3" t="s">
        <v>53</v>
      </c>
      <c r="Q4" s="3" t="s">
        <v>63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35</v>
      </c>
      <c r="G5" s="4" t="s">
        <v>36</v>
      </c>
      <c r="I5" s="4" t="s">
        <v>45</v>
      </c>
      <c r="J5" s="4" t="s">
        <v>46</v>
      </c>
      <c r="K5" s="4" t="s">
        <v>6</v>
      </c>
      <c r="M5" s="4" t="s">
        <v>54</v>
      </c>
      <c r="N5" s="4" t="s">
        <v>55</v>
      </c>
      <c r="O5" s="4" t="s">
        <v>56</v>
      </c>
      <c r="Q5" s="4" t="s">
        <v>64</v>
      </c>
      <c r="R5" s="4" t="s">
        <v>36</v>
      </c>
    </row>
    <row r="6" spans="1:20" ht="29" x14ac:dyDescent="0.35">
      <c r="A6" s="5" t="s">
        <v>7</v>
      </c>
      <c r="B6" s="6" t="s">
        <v>8</v>
      </c>
      <c r="C6" s="7" t="s">
        <v>9</v>
      </c>
      <c r="D6" s="29" t="s">
        <v>10</v>
      </c>
      <c r="F6" s="27" t="s">
        <v>37</v>
      </c>
      <c r="G6" s="27" t="s">
        <v>38</v>
      </c>
      <c r="I6" s="27" t="s">
        <v>47</v>
      </c>
      <c r="J6" s="27" t="s">
        <v>47</v>
      </c>
      <c r="K6" s="27" t="s">
        <v>48</v>
      </c>
      <c r="M6" s="27" t="s">
        <v>57</v>
      </c>
      <c r="N6" s="8">
        <v>841</v>
      </c>
      <c r="O6" s="8">
        <v>1189</v>
      </c>
      <c r="Q6" s="27" t="s">
        <v>65</v>
      </c>
      <c r="R6" s="27" t="s">
        <v>38</v>
      </c>
    </row>
    <row r="7" spans="1:20" x14ac:dyDescent="0.35">
      <c r="A7" s="5" t="s">
        <v>11</v>
      </c>
      <c r="B7" s="6" t="s">
        <v>12</v>
      </c>
      <c r="C7" s="7" t="s">
        <v>13</v>
      </c>
      <c r="D7" s="29"/>
      <c r="F7" s="27" t="s">
        <v>39</v>
      </c>
      <c r="G7" s="27" t="s">
        <v>38</v>
      </c>
      <c r="I7" s="27" t="s">
        <v>50</v>
      </c>
      <c r="J7" s="27" t="s">
        <v>50</v>
      </c>
      <c r="K7" s="27" t="s">
        <v>51</v>
      </c>
      <c r="M7" s="27" t="s">
        <v>58</v>
      </c>
      <c r="N7" s="8">
        <v>594</v>
      </c>
      <c r="O7" s="8">
        <v>841</v>
      </c>
      <c r="Q7" s="27" t="s">
        <v>66</v>
      </c>
      <c r="R7" s="27" t="s">
        <v>38</v>
      </c>
    </row>
    <row r="8" spans="1:20" x14ac:dyDescent="0.35">
      <c r="A8" s="5" t="s">
        <v>14</v>
      </c>
      <c r="B8" s="6" t="s">
        <v>15</v>
      </c>
      <c r="C8" s="7" t="s">
        <v>16</v>
      </c>
      <c r="D8" s="29" t="s">
        <v>17</v>
      </c>
      <c r="F8" s="27" t="s">
        <v>40</v>
      </c>
      <c r="G8" s="27" t="s">
        <v>38</v>
      </c>
      <c r="M8" s="27" t="s">
        <v>59</v>
      </c>
      <c r="N8" s="8">
        <v>420</v>
      </c>
      <c r="O8" s="8">
        <v>594</v>
      </c>
      <c r="Q8" s="27" t="s">
        <v>67</v>
      </c>
      <c r="R8" s="27" t="s">
        <v>38</v>
      </c>
    </row>
    <row r="9" spans="1:20" x14ac:dyDescent="0.35">
      <c r="A9" s="5" t="s">
        <v>18</v>
      </c>
      <c r="B9" s="6" t="s">
        <v>19</v>
      </c>
      <c r="C9" s="7" t="s">
        <v>20</v>
      </c>
      <c r="D9" s="29"/>
      <c r="F9" s="27" t="s">
        <v>41</v>
      </c>
      <c r="G9" s="27" t="s">
        <v>38</v>
      </c>
      <c r="M9" s="27" t="s">
        <v>60</v>
      </c>
      <c r="N9" s="8">
        <v>297</v>
      </c>
      <c r="O9" s="8">
        <v>420</v>
      </c>
      <c r="Q9" s="27" t="s">
        <v>68</v>
      </c>
      <c r="R9" s="27" t="s">
        <v>38</v>
      </c>
    </row>
    <row r="10" spans="1:20" x14ac:dyDescent="0.35">
      <c r="A10" s="5" t="s">
        <v>21</v>
      </c>
      <c r="B10" s="6" t="s">
        <v>22</v>
      </c>
      <c r="C10" s="7" t="s">
        <v>23</v>
      </c>
      <c r="D10" s="29" t="s">
        <v>24</v>
      </c>
      <c r="F10" s="27" t="s">
        <v>42</v>
      </c>
      <c r="G10" s="27" t="s">
        <v>38</v>
      </c>
      <c r="M10" s="27" t="s">
        <v>61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29" t="s">
        <v>27</v>
      </c>
      <c r="F11" s="27" t="s">
        <v>43</v>
      </c>
      <c r="G11" s="27" t="s">
        <v>38</v>
      </c>
      <c r="M11" s="27" t="s">
        <v>62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43">
        <v>1.2</v>
      </c>
      <c r="D12" s="29" t="s">
        <v>30</v>
      </c>
    </row>
    <row r="13" spans="1:20" x14ac:dyDescent="0.35">
      <c r="A13" s="5" t="s">
        <v>31</v>
      </c>
      <c r="B13" s="6" t="s">
        <v>32</v>
      </c>
      <c r="C13" s="46">
        <v>46294.403460648151</v>
      </c>
      <c r="D13" s="29" t="s">
        <v>33</v>
      </c>
    </row>
    <row r="14" spans="1:20" x14ac:dyDescent="0.35">
      <c r="A14" s="5" t="s">
        <v>214</v>
      </c>
      <c r="B14" s="6" t="s">
        <v>215</v>
      </c>
      <c r="C14" s="43" t="s">
        <v>223</v>
      </c>
      <c r="D14" s="29" t="s">
        <v>216</v>
      </c>
    </row>
    <row r="15" spans="1:20" x14ac:dyDescent="0.35">
      <c r="A15" s="5" t="s">
        <v>217</v>
      </c>
      <c r="B15" s="6" t="s">
        <v>218</v>
      </c>
      <c r="C15" s="46">
        <v>46294.403460648151</v>
      </c>
      <c r="D15" s="29" t="s">
        <v>219</v>
      </c>
    </row>
    <row r="16" spans="1:20" x14ac:dyDescent="0.35">
      <c r="A16" s="5" t="s">
        <v>220</v>
      </c>
      <c r="B16" s="6" t="s">
        <v>221</v>
      </c>
      <c r="C16" s="43" t="s">
        <v>259</v>
      </c>
      <c r="D16" s="29" t="s">
        <v>222</v>
      </c>
    </row>
    <row r="17" spans="1:4" ht="43.5" x14ac:dyDescent="0.35">
      <c r="A17" s="5" t="s">
        <v>224</v>
      </c>
      <c r="B17" s="6" t="s">
        <v>225</v>
      </c>
      <c r="C17" s="7"/>
      <c r="D17" s="29" t="s">
        <v>226</v>
      </c>
    </row>
    <row r="18" spans="1:4" ht="29" x14ac:dyDescent="0.35">
      <c r="A18" s="5" t="s">
        <v>227</v>
      </c>
      <c r="B18" s="6" t="s">
        <v>228</v>
      </c>
      <c r="C18" s="7" t="s">
        <v>140</v>
      </c>
      <c r="D18" s="29" t="s">
        <v>229</v>
      </c>
    </row>
    <row r="19" spans="1:4" ht="43.5" x14ac:dyDescent="0.35">
      <c r="A19" s="5" t="s">
        <v>230</v>
      </c>
      <c r="B19" s="6" t="s">
        <v>231</v>
      </c>
      <c r="C19" s="7" t="s">
        <v>233</v>
      </c>
      <c r="D19" s="29" t="s">
        <v>232</v>
      </c>
    </row>
    <row r="20" spans="1:4" ht="43.5" x14ac:dyDescent="0.35">
      <c r="A20" s="5" t="s">
        <v>234</v>
      </c>
      <c r="B20" s="6" t="s">
        <v>235</v>
      </c>
      <c r="C20" s="7" t="s">
        <v>140</v>
      </c>
      <c r="D20" s="29" t="s">
        <v>236</v>
      </c>
    </row>
  </sheetData>
  <sheetProtection formatColumns="0" formatRows="0" sort="0" autoFilter="0"/>
  <dataValidations count="3"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1999" xr:uid="{00000000-0002-0000-0000-000000000000}">
      <formula1>"Sheet,Roll"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124</v>
      </c>
      <c r="B1" s="4" t="s">
        <v>125</v>
      </c>
      <c r="C1" s="4" t="s">
        <v>74</v>
      </c>
      <c r="D1" s="4" t="s">
        <v>19</v>
      </c>
      <c r="E1" s="4" t="s">
        <v>126</v>
      </c>
      <c r="F1" s="4" t="s">
        <v>127</v>
      </c>
      <c r="G1" s="4" t="s">
        <v>128</v>
      </c>
      <c r="H1" s="4" t="s">
        <v>129</v>
      </c>
      <c r="I1" s="22" t="s">
        <v>211</v>
      </c>
      <c r="J1" s="22" t="s">
        <v>212</v>
      </c>
      <c r="K1" s="22" t="s">
        <v>213</v>
      </c>
    </row>
    <row r="2" spans="1:11" ht="43.5" x14ac:dyDescent="0.35">
      <c r="A2" s="22" t="s">
        <v>210</v>
      </c>
      <c r="B2" s="22" t="s">
        <v>138</v>
      </c>
      <c r="C2" s="22" t="s">
        <v>210</v>
      </c>
      <c r="D2" s="22" t="s">
        <v>20</v>
      </c>
      <c r="E2" s="22">
        <v>12</v>
      </c>
      <c r="F2" s="44">
        <v>46280.425000000003</v>
      </c>
      <c r="G2" s="44">
        <v>46284.395833333336</v>
      </c>
      <c r="H2" s="22" t="s">
        <v>36</v>
      </c>
      <c r="I2" s="22"/>
      <c r="J2" s="22"/>
      <c r="K2" s="22"/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formatColumns="0" formatRows="0" sort="0" autoFilter="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130</v>
      </c>
      <c r="B1" s="4" t="s">
        <v>131</v>
      </c>
      <c r="C1" s="4" t="s">
        <v>132</v>
      </c>
      <c r="D1" s="4" t="s">
        <v>133</v>
      </c>
      <c r="E1" s="4" t="s">
        <v>134</v>
      </c>
    </row>
  </sheetData>
  <sheetProtection formatColumns="0" formatRows="0" sort="0" autoFilter="0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135</v>
      </c>
    </row>
  </sheetData>
  <sheetProtection formatColumns="0" format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35</vt:i4>
      </vt:variant>
    </vt:vector>
  </HeadingPairs>
  <TitlesOfParts>
    <vt:vector size="40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SET_LOC_REDUCED_COLUMNS</vt:lpstr>
      <vt:lpstr>SET_LOC_REDUCED_VIEW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2026-09-29T11:22:28Z</dcterms:modified>
</cp:coreProperties>
</file>