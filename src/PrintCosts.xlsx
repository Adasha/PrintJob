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PrintCostsFix-c708740d6a5d43ea83fedea3cc905c21\"/>
    </mc:Choice>
  </mc:AlternateContent>
  <xr:revisionPtr revIDLastSave="0" documentId="13_ncr:1_{B5602741-F2E2-48B5-BFEE-59EFA7E02F16}" xr6:coauthVersionLast="47" xr6:coauthVersionMax="47" xr10:uidLastSave="{00000000-0000-0000-0000-000000000000}"/>
  <bookViews>
    <workbookView xWindow="1290" yWindow="-110" windowWidth="24420" windowHeight="14620" activeTab="9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</sheets>
  <definedNames>
    <definedName name="LOC_Code" localSheetId="9">'Main Print Room'!$AM$2</definedName>
    <definedName name="LOC_DefDisCons" localSheetId="9">'Main Print Room'!$AM$4</definedName>
    <definedName name="LOC_DefDisPaper" localSheetId="9">'Main Print Room'!$AM$3</definedName>
    <definedName name="LOC_Dept" localSheetId="9">'Main Print Room'!$B$2</definedName>
    <definedName name="LOC_Name" localSheetId="9">'Main Print Room'!$B$1</definedName>
    <definedName name="LOC_Printers" localSheetId="9">'Main Print Room'!$AM$7</definedName>
    <definedName name="LOC_Status" localSheetId="9">'Main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0" l="1"/>
  <c r="L24" i="10"/>
  <c r="N24" i="10" s="1"/>
  <c r="M24" i="10"/>
  <c r="U24" i="10"/>
  <c r="R24" i="10" s="1"/>
  <c r="G23" i="10"/>
  <c r="L23" i="10"/>
  <c r="N23" i="10" s="1"/>
  <c r="M23" i="10"/>
  <c r="U23" i="10"/>
  <c r="R23" i="10" s="1"/>
  <c r="G22" i="10"/>
  <c r="L22" i="10"/>
  <c r="N22" i="10" s="1"/>
  <c r="M22" i="10"/>
  <c r="U22" i="10"/>
  <c r="R22" i="10" s="1"/>
  <c r="G21" i="10"/>
  <c r="L21" i="10"/>
  <c r="N21" i="10" s="1"/>
  <c r="M21" i="10"/>
  <c r="U21" i="10"/>
  <c r="R21" i="10" s="1"/>
  <c r="G20" i="10"/>
  <c r="L20" i="10"/>
  <c r="N20" i="10" s="1"/>
  <c r="M20" i="10"/>
  <c r="U20" i="10"/>
  <c r="R20" i="10" s="1"/>
  <c r="G19" i="10"/>
  <c r="L19" i="10"/>
  <c r="N19" i="10" s="1"/>
  <c r="M19" i="10"/>
  <c r="U19" i="10"/>
  <c r="R19" i="10" s="1"/>
  <c r="G18" i="10"/>
  <c r="L18" i="10"/>
  <c r="N18" i="10" s="1"/>
  <c r="M18" i="10"/>
  <c r="U18" i="10"/>
  <c r="R18" i="10" s="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O24" i="10" l="1"/>
  <c r="Q24" i="10"/>
  <c r="O23" i="10"/>
  <c r="O22" i="10"/>
  <c r="Q22" i="10"/>
  <c r="P22" i="10" s="1"/>
  <c r="O21" i="10"/>
  <c r="O20" i="10"/>
  <c r="O19" i="10"/>
  <c r="O18" i="10"/>
  <c r="O13" i="10"/>
  <c r="Q23" i="10"/>
  <c r="P23" i="10" s="1"/>
  <c r="Q21" i="10"/>
  <c r="Q20" i="10"/>
  <c r="P20" i="10" s="1"/>
  <c r="Q19" i="10"/>
  <c r="Q18" i="10"/>
  <c r="P18" i="10" s="1"/>
  <c r="Q17" i="10"/>
  <c r="Q15" i="10"/>
  <c r="Q14" i="10"/>
  <c r="Q16" i="10"/>
  <c r="O17" i="10"/>
  <c r="O15" i="10"/>
  <c r="O14" i="10"/>
  <c r="Q13" i="10"/>
  <c r="O16" i="10"/>
  <c r="P24" i="10" l="1"/>
  <c r="P21" i="10"/>
  <c r="P19" i="10"/>
  <c r="P17" i="10"/>
  <c r="P13" i="10"/>
  <c r="P16" i="10"/>
  <c r="P15" i="10"/>
  <c r="P14" i="10"/>
</calcChain>
</file>

<file path=xl/sharedStrings.xml><?xml version="1.0" encoding="utf-8"?>
<sst xmlns="http://schemas.openxmlformats.org/spreadsheetml/2006/main" count="450" uniqueCount="230">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</sst>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  <xf numFmtId="0" fontId="7" fillId="3" borderId="0" xfId="0" applyFont="1" applyFill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</cellXfs>
  <cellStyles count="1">
    <cellStyle name="Normal" xfId="0" builtinId="0"/>
  </cellStyles>
  <dxfs count="49"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15"/>
    <tableColumn id="2" xr3:uid="{00000000-0010-0000-0000-000002000000}" name="Setting" dataDxfId="14"/>
    <tableColumn id="3" xr3:uid="{00000000-0010-0000-0000-000003000000}" name="Value" dataDxfId="13"/>
    <tableColumn id="4" xr3:uid="{00000000-0010-0000-0000-000004000000}" name="Notes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11"/>
    <tableColumn id="3" xr3:uid="{00000000-0010-0000-0300-000003000000}" name="Height mm" dataDxfId="10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9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8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7"/>
    <tableColumn id="5" xr3:uid="{00000000-0010-0000-0600-000005000000}" name="Supported families" dataDxfId="6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5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4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3"/>
    <tableColumn id="9" xr3:uid="{00000000-0010-0000-0700-000009000000}" name="Height mm" dataDxfId="2"/>
    <tableColumn id="10" xr3:uid="{00000000-0010-0000-0700-00000A000000}" name="Cost" dataDxfId="1"/>
    <tableColumn id="11" xr3:uid="{00000000-0010-0000-0700-00000B000000}" name="Cost unit" dataDxfId="0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24" totalsRowShown="0">
  <autoFilter ref="A12:AG24" xr:uid="{00000000-0009-0000-0100-00000B000000}"/>
  <tableColumns count="33">
    <tableColumn id="3" xr3:uid="{00000000-0010-0000-0A00-000003000000}" name="Date/Time" dataDxfId="48"/>
    <tableColumn id="4" xr3:uid="{00000000-0010-0000-0A00-000004000000}" name="Student Name" dataDxfId="47"/>
    <tableColumn id="5" xr3:uid="{00000000-0010-0000-0A00-000005000000}" name="Student No" dataDxfId="46"/>
    <tableColumn id="6" xr3:uid="{00000000-0010-0000-0A00-000006000000}" name="Technician" dataDxfId="45"/>
    <tableColumn id="7" xr3:uid="{00000000-0010-0000-0A00-000007000000}" name="Printer" dataDxfId="44"/>
    <tableColumn id="8" xr3:uid="{00000000-0010-0000-0A00-000008000000}" name="Paper Stock" dataDxfId="43"/>
    <tableColumn id="9" xr3:uid="{00000000-0010-0000-0A00-000009000000}" name="Unit" dataDxfId="42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41"/>
    <tableColumn id="11" xr3:uid="{00000000-0010-0000-0A00-00000B000000}" name="Print Width mm" dataDxfId="40"/>
    <tableColumn id="12" xr3:uid="{00000000-0010-0000-0A00-00000C000000}" name="Disregard Paper" dataDxfId="39"/>
    <tableColumn id="13" xr3:uid="{00000000-0010-0000-0A00-00000D000000}" name="Disregard Consumable" dataDxfId="38"/>
    <tableColumn id="14" xr3:uid="{00000000-0010-0000-0A00-00000E000000}" name="Area m2" dataDxfId="37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36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35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34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33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32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31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30"/>
    <tableColumn id="20" xr3:uid="{00000000-0010-0000-0A00-000014000000}" name="Notes" dataDxfId="29"/>
    <tableColumn id="21" xr3:uid="{00000000-0010-0000-0A00-000015000000}" name="H_Issues" dataDxfId="28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27"/>
    <tableColumn id="23" xr3:uid="{00000000-0010-0000-0A00-000017000000}" name="S_StockID" dataDxfId="26"/>
    <tableColumn id="24" xr3:uid="{00000000-0010-0000-0A00-000018000000}" name="S_TechID" dataDxfId="25"/>
    <tableColumn id="25" xr3:uid="{00000000-0010-0000-0A00-000019000000}" name="S_Family" dataDxfId="24"/>
    <tableColumn id="26" xr3:uid="{00000000-0010-0000-0A00-00001A000000}" name="S_Measure" dataDxfId="23"/>
    <tableColumn id="27" xr3:uid="{00000000-0010-0000-0A00-00001B000000}" name="S_UnitCost" dataDxfId="22"/>
    <tableColumn id="28" xr3:uid="{00000000-0010-0000-0A00-00001C000000}" name="S_StockWidth_mm" dataDxfId="21"/>
    <tableColumn id="29" xr3:uid="{00000000-0010-0000-0A00-00001D000000}" name="S_SheetHeight_mm" dataDxfId="20"/>
    <tableColumn id="30" xr3:uid="{00000000-0010-0000-0A00-00001E000000}" name="S_ConsRate" dataDxfId="19"/>
    <tableColumn id="31" xr3:uid="{00000000-0010-0000-0A00-00001F000000}" name="S_StampedAt" dataDxfId="18"/>
    <tableColumn id="32" xr3:uid="{00000000-0010-0000-0A00-000020000000}" name="S_StampedBy" dataDxfId="17"/>
    <tableColumn id="33" xr3:uid="{00000000-0010-0000-0A00-000021000000}" name="S_SchemaVer" dataDxfId="1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4"/>
  <sheetViews>
    <sheetView showGridLines="0" tabSelected="1" workbookViewId="0">
      <selection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147</v>
      </c>
      <c r="B1" s="1" t="s">
        <v>148</v>
      </c>
      <c r="D1" s="3" t="s">
        <v>157</v>
      </c>
      <c r="AL1" s="19" t="s">
        <v>210</v>
      </c>
      <c r="AZ1" t="s">
        <v>156</v>
      </c>
    </row>
    <row r="2" spans="1:52" x14ac:dyDescent="0.35">
      <c r="A2" s="6" t="s">
        <v>19</v>
      </c>
      <c r="B2" s="7" t="s">
        <v>20</v>
      </c>
      <c r="D2" s="2" t="s">
        <v>158</v>
      </c>
      <c r="AL2" s="19" t="s">
        <v>149</v>
      </c>
      <c r="AM2" t="s">
        <v>150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152</v>
      </c>
    </row>
    <row r="5" spans="1:52" x14ac:dyDescent="0.35">
      <c r="A5" s="21"/>
      <c r="B5" s="7"/>
      <c r="AL5" s="19" t="s">
        <v>154</v>
      </c>
      <c r="AM5" t="s">
        <v>155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212</v>
      </c>
      <c r="AM7" t="s">
        <v>229</v>
      </c>
    </row>
    <row r="8" spans="1:52" x14ac:dyDescent="0.35">
      <c r="AL8" s="20" t="s">
        <v>211</v>
      </c>
    </row>
    <row r="10" spans="1:52" x14ac:dyDescent="0.35">
      <c r="A10" s="5" t="s">
        <v>159</v>
      </c>
      <c r="C10" s="5" t="s">
        <v>160</v>
      </c>
      <c r="E10" s="5" t="s">
        <v>161</v>
      </c>
      <c r="G10" s="5" t="s">
        <v>162</v>
      </c>
      <c r="I10" s="5" t="s">
        <v>163</v>
      </c>
      <c r="K10" s="5" t="s">
        <v>164</v>
      </c>
      <c r="M10" s="2" t="s">
        <v>165</v>
      </c>
    </row>
    <row r="12" spans="1:52" ht="29" x14ac:dyDescent="0.35">
      <c r="A12" s="4" t="s">
        <v>168</v>
      </c>
      <c r="B12" s="4" t="s">
        <v>169</v>
      </c>
      <c r="C12" s="4" t="s">
        <v>170</v>
      </c>
      <c r="D12" s="4" t="s">
        <v>171</v>
      </c>
      <c r="E12" s="4" t="s">
        <v>172</v>
      </c>
      <c r="F12" s="4" t="s">
        <v>173</v>
      </c>
      <c r="G12" s="4" t="s">
        <v>174</v>
      </c>
      <c r="H12" s="4" t="s">
        <v>175</v>
      </c>
      <c r="I12" s="4" t="s">
        <v>176</v>
      </c>
      <c r="J12" s="4" t="s">
        <v>177</v>
      </c>
      <c r="K12" s="4" t="s">
        <v>178</v>
      </c>
      <c r="L12" s="4" t="s">
        <v>179</v>
      </c>
      <c r="M12" s="4" t="s">
        <v>180</v>
      </c>
      <c r="N12" s="4" t="s">
        <v>181</v>
      </c>
      <c r="O12" s="4" t="s">
        <v>182</v>
      </c>
      <c r="P12" s="4" t="s">
        <v>183</v>
      </c>
      <c r="Q12" s="4" t="s">
        <v>184</v>
      </c>
      <c r="R12" s="4" t="s">
        <v>166</v>
      </c>
      <c r="S12" s="4" t="s">
        <v>167</v>
      </c>
      <c r="T12" s="4" t="s">
        <v>6</v>
      </c>
      <c r="U12" s="4" t="s">
        <v>185</v>
      </c>
      <c r="V12" s="4" t="s">
        <v>186</v>
      </c>
      <c r="W12" s="4" t="s">
        <v>187</v>
      </c>
      <c r="X12" s="4" t="s">
        <v>188</v>
      </c>
      <c r="Y12" s="4" t="s">
        <v>189</v>
      </c>
      <c r="Z12" s="4" t="s">
        <v>190</v>
      </c>
      <c r="AA12" s="4" t="s">
        <v>191</v>
      </c>
      <c r="AB12" s="4" t="s">
        <v>192</v>
      </c>
      <c r="AC12" s="4" t="s">
        <v>193</v>
      </c>
      <c r="AD12" s="4" t="s">
        <v>194</v>
      </c>
      <c r="AE12" s="4" t="s">
        <v>195</v>
      </c>
      <c r="AF12" s="4" t="s">
        <v>196</v>
      </c>
      <c r="AG12" s="4" t="s">
        <v>197</v>
      </c>
    </row>
    <row r="13" spans="1:52" x14ac:dyDescent="0.35">
      <c r="A13" s="12">
        <v>46280.425000000003</v>
      </c>
      <c r="B13" s="13" t="s">
        <v>199</v>
      </c>
      <c r="C13" s="13">
        <v>2201884</v>
      </c>
      <c r="D13" s="13" t="s">
        <v>83</v>
      </c>
      <c r="E13" s="13" t="s">
        <v>101</v>
      </c>
      <c r="F13" s="13" t="s">
        <v>120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152</v>
      </c>
      <c r="K13" s="13" t="s">
        <v>152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>IF(tblJobs_MAIN[[#This Row],[Quantity]]="","",ROUND(tblJobs_MAIN[[#This Row],[Quantity]]*tblJobs_MAIN[[#This Row],[S_UnitCost]],SET_ROUND_DP))</f>
        <v>31</v>
      </c>
      <c r="N13" s="16">
        <f>IF(tblJobs_MAIN[[#This Row],[Area m2]]="","",ROUND(tblJobs_MAIN[[#This Row],[Area m2]]*tblJobs_MAIN[[#This Row],[S_ConsRate]],SET_ROUND_DP))</f>
        <v>13.68</v>
      </c>
      <c r="O13" s="16">
        <f>IF(tblJobs_MAIN[[#This Row],[Paper Cost]]="","",tblJobs_MAIN[[#This Row],[Paper Cost]]+tblJobs_MAIN[[#This Row],[Consumable Cost]])</f>
        <v>44.68</v>
      </c>
      <c r="P13" s="16">
        <f>IF(tblJobs_MAIN[[#This Row],[Gross Cost]]="","",tblJobs_MAIN[[#This Row],[Gross Cost]]-tblJobs_MAIN[[#This Row],[Chargeable Cost]])</f>
        <v>0</v>
      </c>
      <c r="Q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198</v>
      </c>
      <c r="T13" s="13" t="s">
        <v>200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46280.425000000003</v>
      </c>
      <c r="AF13" s="17" t="s">
        <v>201</v>
      </c>
      <c r="AG13" s="17">
        <v>1</v>
      </c>
    </row>
    <row r="14" spans="1:52" x14ac:dyDescent="0.35">
      <c r="A14" s="12">
        <v>46280.611111111109</v>
      </c>
      <c r="B14" s="13" t="s">
        <v>199</v>
      </c>
      <c r="C14" s="13">
        <v>2201884</v>
      </c>
      <c r="D14" s="13" t="s">
        <v>85</v>
      </c>
      <c r="E14" s="13" t="s">
        <v>96</v>
      </c>
      <c r="F14" s="13" t="s">
        <v>126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152</v>
      </c>
      <c r="K14" s="13" t="s">
        <v>152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>IF(tblJobs_MAIN[[#This Row],[Quantity]]="","",ROUND(tblJobs_MAIN[[#This Row],[Quantity]]*tblJobs_MAIN[[#This Row],[S_UnitCost]],SET_ROUND_DP))</f>
        <v>105</v>
      </c>
      <c r="N14" s="16">
        <f>IF(tblJobs_MAIN[[#This Row],[Area m2]]="","",ROUND(tblJobs_MAIN[[#This Row],[Area m2]]*tblJobs_MAIN[[#This Row],[S_ConsRate]],SET_ROUND_DP))</f>
        <v>31.26</v>
      </c>
      <c r="O14" s="16">
        <f>IF(tblJobs_MAIN[[#This Row],[Paper Cost]]="","",tblJobs_MAIN[[#This Row],[Paper Cost]]+tblJobs_MAIN[[#This Row],[Consumable Cost]])</f>
        <v>136.26</v>
      </c>
      <c r="P14" s="16">
        <f>IF(tblJobs_MAIN[[#This Row],[Gross Cost]]="","",tblJobs_MAIN[[#This Row],[Gross Cost]]-tblJobs_MAIN[[#This Row],[Chargeable Cost]])</f>
        <v>0</v>
      </c>
      <c r="Q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202</v>
      </c>
      <c r="T14" s="13" t="s">
        <v>203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46280.611111111109</v>
      </c>
      <c r="AF14" s="17" t="s">
        <v>201</v>
      </c>
      <c r="AG14" s="17">
        <v>1</v>
      </c>
    </row>
    <row r="15" spans="1:52" x14ac:dyDescent="0.35">
      <c r="A15" s="12">
        <v>46281.461805555555</v>
      </c>
      <c r="B15" s="13" t="s">
        <v>205</v>
      </c>
      <c r="C15" s="13">
        <v>2203110</v>
      </c>
      <c r="D15" s="13" t="s">
        <v>85</v>
      </c>
      <c r="E15" s="13" t="s">
        <v>96</v>
      </c>
      <c r="F15" s="13" t="s">
        <v>126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152</v>
      </c>
      <c r="K15" s="13" t="s">
        <v>152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>IF(tblJobs_MAIN[[#This Row],[Quantity]]="","",ROUND(tblJobs_MAIN[[#This Row],[Quantity]]*tblJobs_MAIN[[#This Row],[S_UnitCost]],SET_ROUND_DP))</f>
        <v>105</v>
      </c>
      <c r="N15" s="16">
        <f>IF(tblJobs_MAIN[[#This Row],[Area m2]]="","",ROUND(tblJobs_MAIN[[#This Row],[Area m2]]*tblJobs_MAIN[[#This Row],[S_ConsRate]],SET_ROUND_DP))</f>
        <v>20.52</v>
      </c>
      <c r="O15" s="16">
        <f>IF(tblJobs_MAIN[[#This Row],[Paper Cost]]="","",tblJobs_MAIN[[#This Row],[Paper Cost]]+tblJobs_MAIN[[#This Row],[Consumable Cost]])</f>
        <v>125.52</v>
      </c>
      <c r="P15" s="16">
        <f>IF(tblJobs_MAIN[[#This Row],[Gross Cost]]="","",tblJobs_MAIN[[#This Row],[Gross Cost]]-tblJobs_MAIN[[#This Row],[Chargeable Cost]])</f>
        <v>0</v>
      </c>
      <c r="Q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204</v>
      </c>
      <c r="T15" s="13" t="s">
        <v>206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46281.461805555555</v>
      </c>
      <c r="AF15" s="17" t="s">
        <v>201</v>
      </c>
      <c r="AG15" s="17">
        <v>1</v>
      </c>
    </row>
    <row r="16" spans="1:52" x14ac:dyDescent="0.35">
      <c r="A16" s="12">
        <v>46281.638888888891</v>
      </c>
      <c r="B16" s="13" t="s">
        <v>205</v>
      </c>
      <c r="C16" s="13">
        <v>2203110</v>
      </c>
      <c r="D16" s="13" t="s">
        <v>83</v>
      </c>
      <c r="E16" s="13" t="s">
        <v>96</v>
      </c>
      <c r="F16" s="13" t="s">
        <v>124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44</v>
      </c>
      <c r="K16" s="13" t="s">
        <v>152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>IF(tblJobs_MAIN[[#This Row],[Quantity]]="","",ROUND(tblJobs_MAIN[[#This Row],[Quantity]]*tblJobs_MAIN[[#This Row],[S_UnitCost]],SET_ROUND_DP))</f>
        <v>15.5</v>
      </c>
      <c r="N16" s="16">
        <f>IF(tblJobs_MAIN[[#This Row],[Area m2]]="","",ROUND(tblJobs_MAIN[[#This Row],[Area m2]]*tblJobs_MAIN[[#This Row],[S_ConsRate]],SET_ROUND_DP))</f>
        <v>8.69</v>
      </c>
      <c r="O16" s="16">
        <f>IF(tblJobs_MAIN[[#This Row],[Paper Cost]]="","",tblJobs_MAIN[[#This Row],[Paper Cost]]+tblJobs_MAIN[[#This Row],[Consumable Cost]])</f>
        <v>24.189999999999998</v>
      </c>
      <c r="P16" s="16">
        <f>IF(tblJobs_MAIN[[#This Row],[Gross Cost]]="","",tblJobs_MAIN[[#This Row],[Gross Cost]]-tblJobs_MAIN[[#This Row],[Chargeable Cost]])</f>
        <v>15.499999999999998</v>
      </c>
      <c r="Q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207</v>
      </c>
      <c r="T16" s="13" t="s">
        <v>208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46281.638888888891</v>
      </c>
      <c r="AF16" s="17" t="s">
        <v>201</v>
      </c>
      <c r="AG16" s="17">
        <v>1</v>
      </c>
    </row>
    <row r="17" spans="1:33" x14ac:dyDescent="0.35">
      <c r="A17" s="12">
        <v>46282.381944444445</v>
      </c>
      <c r="B17" s="13" t="s">
        <v>213</v>
      </c>
      <c r="C17" s="13">
        <v>2204521</v>
      </c>
      <c r="D17" s="13" t="s">
        <v>87</v>
      </c>
      <c r="E17" s="13" t="s">
        <v>101</v>
      </c>
      <c r="F17" s="13" t="s">
        <v>122</v>
      </c>
      <c r="G17" s="10" t="str">
        <f>IF(tblJobs_MAIN[[#This Row],[S_Measure]]="","",IF(tblJobs_MAIN[[#This Row],[S_Measure]]="Sheet","sheets","metres"))</f>
        <v>sheets</v>
      </c>
      <c r="H17" s="14">
        <v>25</v>
      </c>
      <c r="I17" s="8"/>
      <c r="J17" s="13" t="s">
        <v>152</v>
      </c>
      <c r="K17" s="13" t="s">
        <v>44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3.1184999999999996</v>
      </c>
      <c r="M17" s="16">
        <f>IF(tblJobs_MAIN[[#This Row],[Quantity]]="","",ROUND(tblJobs_MAIN[[#This Row],[Quantity]]*tblJobs_MAIN[[#This Row],[S_UnitCost]],SET_ROUND_DP))</f>
        <v>2.25</v>
      </c>
      <c r="N17" s="16">
        <f>IF(tblJobs_MAIN[[#This Row],[Area m2]]="","",ROUND(tblJobs_MAIN[[#This Row],[Area m2]]*tblJobs_MAIN[[#This Row],[S_ConsRate]],SET_ROUND_DP))</f>
        <v>2.96</v>
      </c>
      <c r="O17" s="16">
        <f>IF(tblJobs_MAIN[[#This Row],[Paper Cost]]="","",tblJobs_MAIN[[#This Row],[Paper Cost]]+tblJobs_MAIN[[#This Row],[Consumable Cost]])</f>
        <v>5.21</v>
      </c>
      <c r="P17" s="16">
        <f>IF(tblJobs_MAIN[[#This Row],[Gross Cost]]="","",tblJobs_MAIN[[#This Row],[Gross Cost]]-tblJobs_MAIN[[#This Row],[Chargeable Cost]])</f>
        <v>2.96</v>
      </c>
      <c r="Q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R17" s="10" t="str">
        <f>IF(tblJobs_MAIN[[#This Row],[Job ID]]="","",IF(tblJobs_MAIN[[#This Row],[H_Issues]]="","OK",MID(tblJobs_MAIN[[#This Row],[H_Issues]],3,255)))</f>
        <v>OK</v>
      </c>
      <c r="S17" s="5" t="s">
        <v>209</v>
      </c>
      <c r="T17" s="13" t="s">
        <v>214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7" s="17" t="s">
        <v>100</v>
      </c>
      <c r="W17" s="17" t="s">
        <v>121</v>
      </c>
      <c r="X17" s="17" t="s">
        <v>86</v>
      </c>
      <c r="Y17" s="17" t="s">
        <v>53</v>
      </c>
      <c r="Z17" s="17" t="s">
        <v>53</v>
      </c>
      <c r="AA17" s="18">
        <v>0.09</v>
      </c>
      <c r="AB17" s="17">
        <v>297</v>
      </c>
      <c r="AC17" s="17">
        <v>420</v>
      </c>
      <c r="AD17" s="18">
        <v>0.95</v>
      </c>
      <c r="AE17" s="17">
        <v>46282.381944444445</v>
      </c>
      <c r="AF17" s="17" t="s">
        <v>201</v>
      </c>
      <c r="AG17" s="17">
        <v>1</v>
      </c>
    </row>
    <row r="18" spans="1:33" x14ac:dyDescent="0.35">
      <c r="A18" s="12">
        <v>46282.559027777781</v>
      </c>
      <c r="B18" s="12" t="s">
        <v>213</v>
      </c>
      <c r="C18" s="13">
        <v>2204521</v>
      </c>
      <c r="D18" s="13" t="s">
        <v>87</v>
      </c>
      <c r="E18" s="13" t="s">
        <v>101</v>
      </c>
      <c r="F18" s="13" t="s">
        <v>132</v>
      </c>
      <c r="G18" s="22" t="str">
        <f>IF(tblJobs_MAIN[[#This Row],[S_Measure]]="","",IF(tblJobs_MAIN[[#This Row],[S_Measure]]="Sheet","sheets","metres"))</f>
        <v>sheets</v>
      </c>
      <c r="H18" s="14">
        <v>15</v>
      </c>
      <c r="I18" s="8"/>
      <c r="J18" s="23" t="s">
        <v>152</v>
      </c>
      <c r="K18" s="13" t="s">
        <v>152</v>
      </c>
      <c r="L18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2.16</v>
      </c>
      <c r="M18" s="16">
        <f>IF(tblJobs_MAIN[[#This Row],[Quantity]]="","",ROUND(tblJobs_MAIN[[#This Row],[Quantity]]*tblJobs_MAIN[[#This Row],[S_UnitCost]],SET_ROUND_DP))</f>
        <v>2.7</v>
      </c>
      <c r="N18" s="16">
        <f>IF(tblJobs_MAIN[[#This Row],[Area m2]]="","",ROUND(tblJobs_MAIN[[#This Row],[Area m2]]*tblJobs_MAIN[[#This Row],[S_ConsRate]],SET_ROUND_DP))</f>
        <v>2.0499999999999998</v>
      </c>
      <c r="O18" s="16">
        <f>IF(tblJobs_MAIN[[#This Row],[Paper Cost]]="","",tblJobs_MAIN[[#This Row],[Paper Cost]]+tblJobs_MAIN[[#This Row],[Consumable Cost]])</f>
        <v>4.75</v>
      </c>
      <c r="P18" s="16">
        <f>IF(tblJobs_MAIN[[#This Row],[Gross Cost]]="","",tblJobs_MAIN[[#This Row],[Gross Cost]]-tblJobs_MAIN[[#This Row],[Chargeable Cost]])</f>
        <v>0</v>
      </c>
      <c r="Q18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R18" s="10" t="str">
        <f>IF(tblJobs_MAIN[[#This Row],[Job ID]]="","",IF(tblJobs_MAIN[[#This Row],[H_Issues]]="","OK",MID(tblJobs_MAIN[[#This Row],[H_Issues]],3,255)))</f>
        <v>OK</v>
      </c>
      <c r="S18" s="5" t="s">
        <v>216</v>
      </c>
      <c r="T18" s="13" t="s">
        <v>215</v>
      </c>
      <c r="U18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8" s="17" t="s">
        <v>100</v>
      </c>
      <c r="W18" s="17" t="s">
        <v>131</v>
      </c>
      <c r="X18" s="17" t="s">
        <v>86</v>
      </c>
      <c r="Y18" s="17" t="s">
        <v>53</v>
      </c>
      <c r="Z18" s="17" t="s">
        <v>53</v>
      </c>
      <c r="AA18" s="18">
        <v>0.18</v>
      </c>
      <c r="AB18" s="17">
        <v>320</v>
      </c>
      <c r="AC18" s="17">
        <v>450</v>
      </c>
      <c r="AD18" s="18">
        <v>0.95</v>
      </c>
      <c r="AE18" s="17">
        <v>46282.559027777781</v>
      </c>
      <c r="AF18" s="17" t="s">
        <v>201</v>
      </c>
      <c r="AG18" s="17">
        <v>1</v>
      </c>
    </row>
    <row r="19" spans="1:33" x14ac:dyDescent="0.35">
      <c r="A19" s="12">
        <v>46282.666666666664</v>
      </c>
      <c r="B19" s="12" t="s">
        <v>213</v>
      </c>
      <c r="C19" s="13">
        <v>2204521</v>
      </c>
      <c r="D19" s="13" t="s">
        <v>85</v>
      </c>
      <c r="E19" s="13" t="s">
        <v>103</v>
      </c>
      <c r="F19" s="13" t="s">
        <v>128</v>
      </c>
      <c r="G19" s="22" t="str">
        <f>IF(tblJobs_MAIN[[#This Row],[S_Measure]]="","",IF(tblJobs_MAIN[[#This Row],[S_Measure]]="Sheet","sheets","metres"))</f>
        <v>metres</v>
      </c>
      <c r="H19" s="14">
        <v>8</v>
      </c>
      <c r="I19" s="8"/>
      <c r="J19" s="23" t="s">
        <v>152</v>
      </c>
      <c r="K19" s="13" t="s">
        <v>152</v>
      </c>
      <c r="L19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</v>
      </c>
      <c r="M19" s="16">
        <f>IF(tblJobs_MAIN[[#This Row],[Quantity]]="","",ROUND(tblJobs_MAIN[[#This Row],[Quantity]]*tblJobs_MAIN[[#This Row],[S_UnitCost]],SET_ROUND_DP))</f>
        <v>91.2</v>
      </c>
      <c r="N19" s="16">
        <f>IF(tblJobs_MAIN[[#This Row],[Area m2]]="","",ROUND(tblJobs_MAIN[[#This Row],[Area m2]]*tblJobs_MAIN[[#This Row],[S_ConsRate]],SET_ROUND_DP))</f>
        <v>19.18</v>
      </c>
      <c r="O19" s="16">
        <f>IF(tblJobs_MAIN[[#This Row],[Paper Cost]]="","",tblJobs_MAIN[[#This Row],[Paper Cost]]+tblJobs_MAIN[[#This Row],[Consumable Cost]])</f>
        <v>110.38</v>
      </c>
      <c r="P19" s="16">
        <f>IF(tblJobs_MAIN[[#This Row],[Gross Cost]]="","",tblJobs_MAIN[[#This Row],[Gross Cost]]-tblJobs_MAIN[[#This Row],[Chargeable Cost]])</f>
        <v>0</v>
      </c>
      <c r="Q19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R19" s="10" t="str">
        <f>IF(tblJobs_MAIN[[#This Row],[Job ID]]="","",IF(tblJobs_MAIN[[#This Row],[H_Issues]]="","OK",MID(tblJobs_MAIN[[#This Row],[H_Issues]],3,255)))</f>
        <v>OK</v>
      </c>
      <c r="S19" s="5" t="s">
        <v>218</v>
      </c>
      <c r="T19" s="13" t="s">
        <v>217</v>
      </c>
      <c r="U19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9" s="17" t="s">
        <v>102</v>
      </c>
      <c r="W19" s="17" t="s">
        <v>127</v>
      </c>
      <c r="X19" s="17" t="s">
        <v>84</v>
      </c>
      <c r="Y19" s="17" t="s">
        <v>58</v>
      </c>
      <c r="Z19" s="17" t="s">
        <v>56</v>
      </c>
      <c r="AA19" s="18">
        <v>11.4</v>
      </c>
      <c r="AB19" s="17">
        <v>1370</v>
      </c>
      <c r="AC19" s="17"/>
      <c r="AD19" s="18">
        <v>1.75</v>
      </c>
      <c r="AE19" s="17">
        <v>46282.666666666664</v>
      </c>
      <c r="AF19" s="17" t="s">
        <v>201</v>
      </c>
      <c r="AG19" s="17">
        <v>1</v>
      </c>
    </row>
    <row r="20" spans="1:33" x14ac:dyDescent="0.35">
      <c r="A20" s="12">
        <v>46283.427083333336</v>
      </c>
      <c r="B20" s="12"/>
      <c r="C20" s="13">
        <v>2205077</v>
      </c>
      <c r="D20" s="13" t="s">
        <v>83</v>
      </c>
      <c r="E20" s="13" t="s">
        <v>99</v>
      </c>
      <c r="F20" s="13" t="s">
        <v>124</v>
      </c>
      <c r="G20" s="22" t="str">
        <f>IF(tblJobs_MAIN[[#This Row],[S_Measure]]="","",IF(tblJobs_MAIN[[#This Row],[S_Measure]]="Sheet","sheets","metres"))</f>
        <v>metres</v>
      </c>
      <c r="H20" s="14">
        <v>3</v>
      </c>
      <c r="I20" s="8"/>
      <c r="J20" s="23" t="s">
        <v>152</v>
      </c>
      <c r="K20" s="13" t="s">
        <v>152</v>
      </c>
      <c r="L20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1.83</v>
      </c>
      <c r="M20" s="16">
        <f>IF(tblJobs_MAIN[[#This Row],[Quantity]]="","",ROUND(tblJobs_MAIN[[#This Row],[Quantity]]*tblJobs_MAIN[[#This Row],[S_UnitCost]],SET_ROUND_DP))</f>
        <v>9.3000000000000007</v>
      </c>
      <c r="N20" s="16">
        <f>IF(tblJobs_MAIN[[#This Row],[Area m2]]="","",ROUND(tblJobs_MAIN[[#This Row],[Area m2]]*tblJobs_MAIN[[#This Row],[S_ConsRate]],SET_ROUND_DP))</f>
        <v>4.3899999999999997</v>
      </c>
      <c r="O20" s="16">
        <f>IF(tblJobs_MAIN[[#This Row],[Paper Cost]]="","",tblJobs_MAIN[[#This Row],[Paper Cost]]+tblJobs_MAIN[[#This Row],[Consumable Cost]])</f>
        <v>13.690000000000001</v>
      </c>
      <c r="P20" s="16">
        <f>IF(tblJobs_MAIN[[#This Row],[Gross Cost]]="","",tblJobs_MAIN[[#This Row],[Gross Cost]]-tblJobs_MAIN[[#This Row],[Chargeable Cost]])</f>
        <v>0</v>
      </c>
      <c r="Q20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R20" s="10" t="str">
        <f>IF(tblJobs_MAIN[[#This Row],[Job ID]]="","",IF(tblJobs_MAIN[[#This Row],[H_Issues]]="","OK",MID(tblJobs_MAIN[[#This Row],[H_Issues]],3,255)))</f>
        <v>OK</v>
      </c>
      <c r="S20" s="5" t="s">
        <v>220</v>
      </c>
      <c r="T20" s="13" t="s">
        <v>219</v>
      </c>
      <c r="U20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0" s="17" t="s">
        <v>98</v>
      </c>
      <c r="W20" s="17" t="s">
        <v>123</v>
      </c>
      <c r="X20" s="17" t="s">
        <v>82</v>
      </c>
      <c r="Y20" s="17" t="s">
        <v>55</v>
      </c>
      <c r="Z20" s="17" t="s">
        <v>56</v>
      </c>
      <c r="AA20" s="18">
        <v>3.1</v>
      </c>
      <c r="AB20" s="17">
        <v>610</v>
      </c>
      <c r="AC20" s="17"/>
      <c r="AD20" s="18">
        <v>2.4</v>
      </c>
      <c r="AE20" s="17">
        <v>46283.427083333336</v>
      </c>
      <c r="AF20" s="17" t="s">
        <v>201</v>
      </c>
      <c r="AG20" s="17">
        <v>1</v>
      </c>
    </row>
    <row r="21" spans="1:33" x14ac:dyDescent="0.35">
      <c r="A21" s="12">
        <v>46283.486111111109</v>
      </c>
      <c r="B21" s="12" t="s">
        <v>88</v>
      </c>
      <c r="C21" s="13"/>
      <c r="D21" s="13" t="s">
        <v>87</v>
      </c>
      <c r="E21" s="13" t="s">
        <v>101</v>
      </c>
      <c r="F21" s="13" t="s">
        <v>118</v>
      </c>
      <c r="G21" s="22" t="str">
        <f>IF(tblJobs_MAIN[[#This Row],[S_Measure]]="","",IF(tblJobs_MAIN[[#This Row],[S_Measure]]="Sheet","sheets","metres"))</f>
        <v>sheets</v>
      </c>
      <c r="H21" s="14">
        <v>30</v>
      </c>
      <c r="I21" s="8"/>
      <c r="J21" s="23" t="s">
        <v>152</v>
      </c>
      <c r="K21" s="13" t="s">
        <v>152</v>
      </c>
      <c r="L21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7.4843999999999991</v>
      </c>
      <c r="M21" s="16">
        <f>IF(tblJobs_MAIN[[#This Row],[Quantity]]="","",ROUND(tblJobs_MAIN[[#This Row],[Quantity]]*tblJobs_MAIN[[#This Row],[S_UnitCost]],SET_ROUND_DP))</f>
        <v>7.2</v>
      </c>
      <c r="N21" s="16">
        <f>IF(tblJobs_MAIN[[#This Row],[Area m2]]="","",ROUND(tblJobs_MAIN[[#This Row],[Area m2]]*tblJobs_MAIN[[#This Row],[S_ConsRate]],SET_ROUND_DP))</f>
        <v>7.11</v>
      </c>
      <c r="O21" s="16">
        <f>IF(tblJobs_MAIN[[#This Row],[Paper Cost]]="","",tblJobs_MAIN[[#This Row],[Paper Cost]]+tblJobs_MAIN[[#This Row],[Consumable Cost]])</f>
        <v>14.31</v>
      </c>
      <c r="P21" s="16">
        <f>IF(tblJobs_MAIN[[#This Row],[Gross Cost]]="","",tblJobs_MAIN[[#This Row],[Gross Cost]]-tblJobs_MAIN[[#This Row],[Chargeable Cost]])</f>
        <v>0</v>
      </c>
      <c r="Q21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R21" s="10" t="str">
        <f>IF(tblJobs_MAIN[[#This Row],[Job ID]]="","",IF(tblJobs_MAIN[[#This Row],[H_Issues]]="","OK",MID(tblJobs_MAIN[[#This Row],[H_Issues]],3,255)))</f>
        <v>OK</v>
      </c>
      <c r="S21" s="5" t="s">
        <v>222</v>
      </c>
      <c r="T21" s="13" t="s">
        <v>221</v>
      </c>
      <c r="U21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1" s="17" t="s">
        <v>100</v>
      </c>
      <c r="W21" s="17" t="s">
        <v>117</v>
      </c>
      <c r="X21" s="17" t="s">
        <v>86</v>
      </c>
      <c r="Y21" s="17" t="s">
        <v>53</v>
      </c>
      <c r="Z21" s="17" t="s">
        <v>53</v>
      </c>
      <c r="AA21" s="18">
        <v>0.24</v>
      </c>
      <c r="AB21" s="17">
        <v>420</v>
      </c>
      <c r="AC21" s="17">
        <v>594</v>
      </c>
      <c r="AD21" s="18">
        <v>0.95</v>
      </c>
      <c r="AE21" s="17">
        <v>46283.486111111109</v>
      </c>
      <c r="AF21" s="17" t="s">
        <v>201</v>
      </c>
      <c r="AG21" s="17">
        <v>1</v>
      </c>
    </row>
    <row r="22" spans="1:33" x14ac:dyDescent="0.35">
      <c r="A22" s="12">
        <v>46283.638888888891</v>
      </c>
      <c r="B22" s="12" t="s">
        <v>213</v>
      </c>
      <c r="C22" s="13">
        <v>2204521</v>
      </c>
      <c r="D22" s="13" t="s">
        <v>85</v>
      </c>
      <c r="E22" s="13" t="s">
        <v>96</v>
      </c>
      <c r="F22" s="13" t="s">
        <v>130</v>
      </c>
      <c r="G22" s="22" t="str">
        <f>IF(tblJobs_MAIN[[#This Row],[S_Measure]]="","",IF(tblJobs_MAIN[[#This Row],[S_Measure]]="Sheet","sheets","metres"))</f>
        <v>metres</v>
      </c>
      <c r="H22" s="14">
        <v>20</v>
      </c>
      <c r="I22" s="8"/>
      <c r="J22" s="23" t="s">
        <v>152</v>
      </c>
      <c r="K22" s="13" t="s">
        <v>152</v>
      </c>
      <c r="L22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21.34</v>
      </c>
      <c r="M22" s="16">
        <f>IF(tblJobs_MAIN[[#This Row],[Quantity]]="","",ROUND(tblJobs_MAIN[[#This Row],[Quantity]]*tblJobs_MAIN[[#This Row],[S_UnitCost]],SET_ROUND_DP))</f>
        <v>112</v>
      </c>
      <c r="N22" s="16">
        <f>IF(tblJobs_MAIN[[#This Row],[Area m2]]="","",ROUND(tblJobs_MAIN[[#This Row],[Area m2]]*tblJobs_MAIN[[#This Row],[S_ConsRate]],SET_ROUND_DP))</f>
        <v>60.82</v>
      </c>
      <c r="O22" s="16">
        <f>IF(tblJobs_MAIN[[#This Row],[Paper Cost]]="","",tblJobs_MAIN[[#This Row],[Paper Cost]]+tblJobs_MAIN[[#This Row],[Consumable Cost]])</f>
        <v>172.82</v>
      </c>
      <c r="P22" s="16">
        <f>IF(tblJobs_MAIN[[#This Row],[Gross Cost]]="","",tblJobs_MAIN[[#This Row],[Gross Cost]]-tblJobs_MAIN[[#This Row],[Chargeable Cost]])</f>
        <v>0</v>
      </c>
      <c r="Q22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R22" s="10" t="str">
        <f>IF(tblJobs_MAIN[[#This Row],[Job ID]]="","",IF(tblJobs_MAIN[[#This Row],[H_Issues]]="","OK",MID(tblJobs_MAIN[[#This Row],[H_Issues]],3,255)))</f>
        <v>OK</v>
      </c>
      <c r="S22" s="5" t="s">
        <v>224</v>
      </c>
      <c r="T22" s="13" t="s">
        <v>223</v>
      </c>
      <c r="U22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2" s="17" t="s">
        <v>95</v>
      </c>
      <c r="W22" s="17" t="s">
        <v>129</v>
      </c>
      <c r="X22" s="17" t="s">
        <v>84</v>
      </c>
      <c r="Y22" s="17" t="s">
        <v>58</v>
      </c>
      <c r="Z22" s="17" t="s">
        <v>56</v>
      </c>
      <c r="AA22" s="18">
        <v>5.6</v>
      </c>
      <c r="AB22" s="17">
        <v>1067</v>
      </c>
      <c r="AC22" s="17"/>
      <c r="AD22" s="18">
        <v>2.85</v>
      </c>
      <c r="AE22" s="17">
        <v>46283.638888888891</v>
      </c>
      <c r="AF22" s="17" t="s">
        <v>201</v>
      </c>
      <c r="AG22" s="17">
        <v>1</v>
      </c>
    </row>
    <row r="23" spans="1:33" x14ac:dyDescent="0.35">
      <c r="A23" s="12">
        <v>46284.34375</v>
      </c>
      <c r="B23" s="12" t="s">
        <v>205</v>
      </c>
      <c r="C23" s="13">
        <v>2203110</v>
      </c>
      <c r="D23" s="13" t="s">
        <v>83</v>
      </c>
      <c r="E23" s="13" t="s">
        <v>101</v>
      </c>
      <c r="F23" s="13" t="s">
        <v>115</v>
      </c>
      <c r="G23" s="22" t="str">
        <f>IF(tblJobs_MAIN[[#This Row],[S_Measure]]="","",IF(tblJobs_MAIN[[#This Row],[S_Measure]]="Sheet","sheets","metres"))</f>
        <v>sheets</v>
      </c>
      <c r="H23" s="14">
        <v>40</v>
      </c>
      <c r="I23" s="8"/>
      <c r="J23" s="23" t="s">
        <v>152</v>
      </c>
      <c r="K23" s="13" t="s">
        <v>152</v>
      </c>
      <c r="L23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19.982159999999997</v>
      </c>
      <c r="M23" s="16">
        <f>IF(tblJobs_MAIN[[#This Row],[Quantity]]="","",ROUND(tblJobs_MAIN[[#This Row],[Quantity]]*tblJobs_MAIN[[#This Row],[S_UnitCost]],SET_ROUND_DP))</f>
        <v>16.8</v>
      </c>
      <c r="N23" s="16">
        <f>IF(tblJobs_MAIN[[#This Row],[Area m2]]="","",ROUND(tblJobs_MAIN[[#This Row],[Area m2]]*tblJobs_MAIN[[#This Row],[S_ConsRate]],SET_ROUND_DP))</f>
        <v>18.98</v>
      </c>
      <c r="O23" s="16">
        <f>IF(tblJobs_MAIN[[#This Row],[Paper Cost]]="","",tblJobs_MAIN[[#This Row],[Paper Cost]]+tblJobs_MAIN[[#This Row],[Consumable Cost]])</f>
        <v>35.78</v>
      </c>
      <c r="P23" s="16">
        <f>IF(tblJobs_MAIN[[#This Row],[Gross Cost]]="","",tblJobs_MAIN[[#This Row],[Gross Cost]]-tblJobs_MAIN[[#This Row],[Chargeable Cost]])</f>
        <v>0</v>
      </c>
      <c r="Q2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R23" s="10" t="str">
        <f>IF(tblJobs_MAIN[[#This Row],[Job ID]]="","",IF(tblJobs_MAIN[[#This Row],[H_Issues]]="","OK",MID(tblJobs_MAIN[[#This Row],[H_Issues]],3,255)))</f>
        <v>OK</v>
      </c>
      <c r="S23" s="5" t="s">
        <v>226</v>
      </c>
      <c r="T23" s="13" t="s">
        <v>228</v>
      </c>
      <c r="U2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3" s="17" t="s">
        <v>100</v>
      </c>
      <c r="W23" s="17" t="s">
        <v>114</v>
      </c>
      <c r="X23" s="17" t="s">
        <v>82</v>
      </c>
      <c r="Y23" s="17" t="s">
        <v>53</v>
      </c>
      <c r="Z23" s="17" t="s">
        <v>53</v>
      </c>
      <c r="AA23" s="18">
        <v>0.42</v>
      </c>
      <c r="AB23" s="17">
        <v>594</v>
      </c>
      <c r="AC23" s="17">
        <v>841</v>
      </c>
      <c r="AD23" s="18">
        <v>0.95</v>
      </c>
      <c r="AE23" s="17">
        <v>46284.34375</v>
      </c>
      <c r="AF23" s="17" t="s">
        <v>201</v>
      </c>
      <c r="AG23" s="17">
        <v>1</v>
      </c>
    </row>
    <row r="24" spans="1:33" x14ac:dyDescent="0.35">
      <c r="A24" s="12">
        <v>46284.395833333336</v>
      </c>
      <c r="B24" s="12"/>
      <c r="C24" s="13"/>
      <c r="D24" s="13" t="s">
        <v>83</v>
      </c>
      <c r="E24" s="13" t="s">
        <v>96</v>
      </c>
      <c r="F24" s="13" t="s">
        <v>126</v>
      </c>
      <c r="G24" s="22" t="str">
        <f>IF(tblJobs_MAIN[[#This Row],[S_Measure]]="","",IF(tblJobs_MAIN[[#This Row],[S_Measure]]="Sheet","sheets","metres"))</f>
        <v>metres</v>
      </c>
      <c r="H24" s="14">
        <v>12</v>
      </c>
      <c r="I24" s="8">
        <v>1200</v>
      </c>
      <c r="J24" s="23" t="s">
        <v>152</v>
      </c>
      <c r="K24" s="13" t="s">
        <v>152</v>
      </c>
      <c r="L24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24" s="16">
        <f>IF(tblJobs_MAIN[[#This Row],[Quantity]]="","",ROUND(tblJobs_MAIN[[#This Row],[Quantity]]*tblJobs_MAIN[[#This Row],[S_UnitCost]],SET_ROUND_DP))</f>
        <v>105</v>
      </c>
      <c r="N24" s="16">
        <f>IF(tblJobs_MAIN[[#This Row],[Area m2]]="","",ROUND(tblJobs_MAIN[[#This Row],[Area m2]]*tblJobs_MAIN[[#This Row],[S_ConsRate]],SET_ROUND_DP))</f>
        <v>41.04</v>
      </c>
      <c r="O24" s="16">
        <f>IF(tblJobs_MAIN[[#This Row],[Paper Cost]]="","",tblJobs_MAIN[[#This Row],[Paper Cost]]+tblJobs_MAIN[[#This Row],[Consumable Cost]])</f>
        <v>146.04</v>
      </c>
      <c r="P24" s="16">
        <f>IF(tblJobs_MAIN[[#This Row],[Gross Cost]]="","",tblJobs_MAIN[[#This Row],[Gross Cost]]-tblJobs_MAIN[[#This Row],[Chargeable Cost]])</f>
        <v>0</v>
      </c>
      <c r="Q2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24" s="10" t="str">
        <f>IF(tblJobs_MAIN[[#This Row],[Job ID]]="","",IF(tblJobs_MAIN[[#This Row],[H_Issues]]="","OK",MID(tblJobs_MAIN[[#This Row],[H_Issues]],3,255)))</f>
        <v>Student name or number required; Print width exceeds stock width</v>
      </c>
      <c r="S24" s="5" t="s">
        <v>227</v>
      </c>
      <c r="T24" s="13" t="s">
        <v>225</v>
      </c>
      <c r="U2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24" s="17" t="s">
        <v>95</v>
      </c>
      <c r="W24" s="17" t="s">
        <v>125</v>
      </c>
      <c r="X24" s="17" t="s">
        <v>82</v>
      </c>
      <c r="Y24" s="17" t="s">
        <v>58</v>
      </c>
      <c r="Z24" s="17" t="s">
        <v>56</v>
      </c>
      <c r="AA24" s="18">
        <v>8.75</v>
      </c>
      <c r="AB24" s="17">
        <v>914</v>
      </c>
      <c r="AC24" s="17"/>
      <c r="AD24" s="18">
        <v>2.85</v>
      </c>
      <c r="AE24" s="17">
        <v>46284.395833333336</v>
      </c>
      <c r="AF24" s="17" t="s">
        <v>201</v>
      </c>
      <c r="AG24" s="17">
        <v>1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7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7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7" xr:uid="{00000000-0002-0000-0900-000002000000}">
      <formula1>lstStocks</formula1>
    </dataValidation>
    <dataValidation type="list" allowBlank="1" showInputMessage="1" showErrorMessage="1" sqref="J13:K2007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7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7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7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24</vt:i4>
      </vt:variant>
    </vt:vector>
  </HeadingPairs>
  <TitlesOfParts>
    <vt:vector size="29" baseType="lpstr">
      <vt:lpstr>Settings</vt:lpstr>
      <vt:lpstr>Print Technicians</vt:lpstr>
      <vt:lpstr>Printers</vt:lpstr>
      <vt:lpstr>Papers</vt:lpstr>
      <vt:lpstr>Main Print Room</vt:lpstr>
      <vt:lpstr>'Main Print Room'!LOC_Code</vt:lpstr>
      <vt:lpstr>'Main Print Room'!LOC_DefDisCons</vt:lpstr>
      <vt:lpstr>'Main Print Room'!LOC_DefDisPaper</vt:lpstr>
      <vt:lpstr>'Main Print Room'!LOC_Dept</vt:lpstr>
      <vt:lpstr>'Main Print Room'!LOC_Name</vt:lpstr>
      <vt:lpstr>'Main Print Room'!LOC_Printers</vt:lpstr>
      <vt:lpstr>'Main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2026-09-27T14:49:47Z</dcterms:modified>
</cp:coreProperties>
</file>