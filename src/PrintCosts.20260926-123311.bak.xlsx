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4d1abecbe6fecc/Development/OfficeApps/PrintJob/src/"/>
    </mc:Choice>
  </mc:AlternateContent>
  <xr:revisionPtr revIDLastSave="70" documentId="6_{24FC9915-6BA6-43A0-B0CA-D3ADEEE53F5E}" xr6:coauthVersionLast="47" xr6:coauthVersionMax="47" xr10:uidLastSave="{5AE5A163-4885-41B3-AD4A-B80570509C5E}"/>
  <bookViews>
    <workbookView xWindow="1290" yWindow="-110" windowWidth="24420" windowHeight="14620" activeTab="2" xr2:uid="{00000000-000D-0000-FFFF-FFFF00000000}"/>
  </bookViews>
  <sheets>
    <sheet name="Settings" sheetId="1" r:id="rId1"/>
    <sheet name="Print Technicians" sheetId="2" r:id="rId2"/>
    <sheet name="Printers" sheetId="3" r:id="rId3"/>
    <sheet name="Papers" sheetId="4" r:id="rId4"/>
    <sheet name="_Registry" sheetId="5" state="veryHidden" r:id="rId5"/>
    <sheet name="_Work" sheetId="6" state="veryHidden" r:id="rId6"/>
    <sheet name="_Export" sheetId="7" state="veryHidden" r:id="rId7"/>
    <sheet name="_Audit" sheetId="8" state="veryHidden" r:id="rId8"/>
    <sheet name="_Picker" sheetId="9" state="veryHidden" r:id="rId9"/>
    <sheet name="Main Print Room" sheetId="10" r:id="rId10"/>
    <sheet name="Annexe" sheetId="11" r:id="rId11"/>
  </sheets>
  <definedNames>
    <definedName name="LOC_Code" localSheetId="10">Annexe!$AM$2</definedName>
    <definedName name="LOC_Code" localSheetId="9">'Main Print Room'!$AM$2</definedName>
    <definedName name="LOC_DefDisCons" localSheetId="10">Annexe!$AM$4</definedName>
    <definedName name="LOC_DefDisCons" localSheetId="9">'Main Print Room'!$AM$4</definedName>
    <definedName name="LOC_DefDisPaper" localSheetId="10">Annexe!$AM$3</definedName>
    <definedName name="LOC_DefDisPaper" localSheetId="9">'Main Print Room'!$AM$3</definedName>
    <definedName name="LOC_Dept" localSheetId="10">Annexe!$B$2</definedName>
    <definedName name="LOC_Dept" localSheetId="9">'Main Print Room'!$B$2</definedName>
    <definedName name="LOC_Name" localSheetId="10">Annexe!$B$1</definedName>
    <definedName name="LOC_Name" localSheetId="9">'Main Print Room'!$B$1</definedName>
    <definedName name="LOC_Printers" localSheetId="10">Annexe!$AM$7</definedName>
    <definedName name="LOC_Printers" localSheetId="9">'Main Print Room'!$AM$7</definedName>
    <definedName name="LOC_Status" localSheetId="10">Annexe!$AM$5</definedName>
    <definedName name="LOC_Status" localSheetId="9">'Main Print Room'!$AM$5</definedName>
    <definedName name="lstConsumables">tblConsumables[Consumable type]</definedName>
    <definedName name="lstFamilies">tblPaperFamilies[Family]</definedName>
    <definedName name="lstPaperTypes">tblPaperTypes[Paper type]</definedName>
    <definedName name="lstPrinters">tblPrinters[Model]</definedName>
    <definedName name="lstStandardSizes">tblStandardSizes[Size name]</definedName>
    <definedName name="lstStocks">tblPapers[Description]</definedName>
    <definedName name="lstTechnicians">tblTechnicians[Name]</definedName>
    <definedName name="SET_CURRENCY">Settings!$C$10</definedName>
    <definedName name="SET_DEPT">Settings!$C$9</definedName>
    <definedName name="SET_FOOTER">Settings!$C$12</definedName>
    <definedName name="SET_FY_START">Settings!$C$13</definedName>
    <definedName name="SET_LASTREF">Settings!$C$15</definedName>
    <definedName name="SET_ORG">Settings!$C$8</definedName>
    <definedName name="SET_ROUND_DP">Settings!$C$11</definedName>
    <definedName name="SET_SCHEMA">Settings!$C$14</definedName>
    <definedName name="SET_SITE_ID">Settings!$C$6</definedName>
    <definedName name="SET_SITE_NAME">Settings!$C$7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11" l="1"/>
  <c r="A13" i="11" s="1"/>
  <c r="O13" i="11"/>
  <c r="N13" i="11"/>
  <c r="P13" i="11" s="1"/>
  <c r="I13" i="11"/>
  <c r="U17" i="10"/>
  <c r="A17" i="10" s="1"/>
  <c r="O17" i="10"/>
  <c r="N17" i="10"/>
  <c r="P17" i="10" s="1"/>
  <c r="S17" i="10" s="1"/>
  <c r="I17" i="10"/>
  <c r="U16" i="10"/>
  <c r="O16" i="10"/>
  <c r="N16" i="10"/>
  <c r="P16" i="10" s="1"/>
  <c r="I16" i="10"/>
  <c r="A16" i="10"/>
  <c r="U15" i="10"/>
  <c r="A15" i="10" s="1"/>
  <c r="P15" i="10"/>
  <c r="O15" i="10"/>
  <c r="S15" i="10" s="1"/>
  <c r="N15" i="10"/>
  <c r="I15" i="10"/>
  <c r="U14" i="10"/>
  <c r="O14" i="10"/>
  <c r="N14" i="10"/>
  <c r="P14" i="10" s="1"/>
  <c r="I14" i="10"/>
  <c r="A14" i="10"/>
  <c r="U13" i="10"/>
  <c r="P13" i="10"/>
  <c r="Q13" i="10" s="1"/>
  <c r="O13" i="10"/>
  <c r="N13" i="10"/>
  <c r="I13" i="10"/>
  <c r="A13" i="10"/>
  <c r="E14" i="4"/>
  <c r="K14" i="4" s="1"/>
  <c r="E13" i="4"/>
  <c r="K13" i="4" s="1"/>
  <c r="E12" i="4"/>
  <c r="K12" i="4" s="1"/>
  <c r="E11" i="4"/>
  <c r="K11" i="4" s="1"/>
  <c r="E10" i="4"/>
  <c r="K10" i="4" s="1"/>
  <c r="E9" i="4"/>
  <c r="K9" i="4" s="1"/>
  <c r="E8" i="4"/>
  <c r="K8" i="4" s="1"/>
  <c r="E7" i="4"/>
  <c r="K7" i="4" s="1"/>
  <c r="E6" i="4"/>
  <c r="K6" i="4" s="1"/>
  <c r="S14" i="10" l="1"/>
  <c r="S13" i="11"/>
  <c r="S16" i="10"/>
  <c r="Q17" i="10"/>
  <c r="R17" i="10" s="1"/>
  <c r="Q15" i="10"/>
  <c r="R15" i="10" s="1"/>
  <c r="Q14" i="10"/>
  <c r="R14" i="10" s="1"/>
  <c r="S13" i="10"/>
  <c r="R13" i="10" s="1"/>
  <c r="Q16" i="10"/>
  <c r="R16" i="10" s="1"/>
  <c r="Q13" i="11"/>
  <c r="R13" i="11" s="1"/>
</calcChain>
</file>

<file path=xl/sharedStrings.xml><?xml version="1.0" encoding="utf-8"?>
<sst xmlns="http://schemas.openxmlformats.org/spreadsheetml/2006/main" count="437" uniqueCount="222">
  <si>
    <t>Settings</t>
  </si>
  <si>
    <t>Global parameters and the reference lists the rest of the workbook draws on. Changing a value here never alters the cost of an existing print record.</t>
  </si>
  <si>
    <t>Global settings</t>
  </si>
  <si>
    <t>Key</t>
  </si>
  <si>
    <t>Setting</t>
  </si>
  <si>
    <t>Value</t>
  </si>
  <si>
    <t>Notes</t>
  </si>
  <si>
    <t>SITE_ID</t>
  </si>
  <si>
    <t>Site ID</t>
  </si>
  <si>
    <t>UNI</t>
  </si>
  <si>
    <t>Short code for this workbook. Used in job IDs so records stay unique if several sites are collated. Leave as-is for single-workbook use.</t>
  </si>
  <si>
    <t>SITE_NAME</t>
  </si>
  <si>
    <t>Site name</t>
  </si>
  <si>
    <t>Main Campus</t>
  </si>
  <si>
    <t>ORG</t>
  </si>
  <si>
    <t>Organisation</t>
  </si>
  <si>
    <t>University</t>
  </si>
  <si>
    <t>Appears on reports.</t>
  </si>
  <si>
    <t>DEPT</t>
  </si>
  <si>
    <t>Department</t>
  </si>
  <si>
    <t>Print Services</t>
  </si>
  <si>
    <t>CURRENCY</t>
  </si>
  <si>
    <t>Currency symbol</t>
  </si>
  <si>
    <t>£</t>
  </si>
  <si>
    <t>Display only.</t>
  </si>
  <si>
    <t>ROUND_DP</t>
  </si>
  <si>
    <t>Currency decimal places</t>
  </si>
  <si>
    <t>WARNING: changing this recalculates the cost of existing records.</t>
  </si>
  <si>
    <t>FOOTER</t>
  </si>
  <si>
    <t>Report footer</t>
  </si>
  <si>
    <t>FY_START</t>
  </si>
  <si>
    <t>Financial year start</t>
  </si>
  <si>
    <t>1 August</t>
  </si>
  <si>
    <t>SCHEMA</t>
  </si>
  <si>
    <t>Schema version</t>
  </si>
  <si>
    <t>1.0</t>
  </si>
  <si>
    <t>Read-only. Do not edit.</t>
  </si>
  <si>
    <t>LASTREF</t>
  </si>
  <si>
    <t>Last locations refresh</t>
  </si>
  <si>
    <t>Read-only. Set by Refresh Locations.</t>
  </si>
  <si>
    <t>Paper stock types</t>
  </si>
  <si>
    <t>Paper type</t>
  </si>
  <si>
    <t>Active</t>
  </si>
  <si>
    <t>Vinyl</t>
  </si>
  <si>
    <t>Yes</t>
  </si>
  <si>
    <t>Gloss</t>
  </si>
  <si>
    <t>Matte</t>
  </si>
  <si>
    <t>Canvas</t>
  </si>
  <si>
    <t>Satin</t>
  </si>
  <si>
    <t>Uncoated</t>
  </si>
  <si>
    <t>Paper stock families</t>
  </si>
  <si>
    <t>Family</t>
  </si>
  <si>
    <t>Measurement basis</t>
  </si>
  <si>
    <t>Sheet</t>
  </si>
  <si>
    <t>Cut sheets. Quantity is counted in sheets.</t>
  </si>
  <si>
    <t>Short Roll</t>
  </si>
  <si>
    <t>Roll</t>
  </si>
  <si>
    <t>Roll stock up to 24in. Quantity is metres consumed.</t>
  </si>
  <si>
    <t>Long Roll</t>
  </si>
  <si>
    <t>Roll stock above 24in. Quantity is metres consumed.</t>
  </si>
  <si>
    <t>Standard paper sizes (mm)</t>
  </si>
  <si>
    <t>Size name</t>
  </si>
  <si>
    <t>Width mm</t>
  </si>
  <si>
    <t>Height mm</t>
  </si>
  <si>
    <t>A0</t>
  </si>
  <si>
    <t>A1</t>
  </si>
  <si>
    <t>A2</t>
  </si>
  <si>
    <t>A3</t>
  </si>
  <si>
    <t>A4</t>
  </si>
  <si>
    <t>SRA3</t>
  </si>
  <si>
    <t>Consumable types</t>
  </si>
  <si>
    <t>Consumable type</t>
  </si>
  <si>
    <t>Ink</t>
  </si>
  <si>
    <t>Toner</t>
  </si>
  <si>
    <t>Solid ink</t>
  </si>
  <si>
    <t>Latex</t>
  </si>
  <si>
    <t>Commands</t>
  </si>
  <si>
    <t>Buttons appear here once InitialiseWorkbook has been run.</t>
  </si>
  <si>
    <t>Print Technicians</t>
  </si>
  <si>
    <t>Technicians who handle print jobs. Set a technician to Inactive rather than deleting the row — historical records keep working, but the name stops appearing for new jobs.</t>
  </si>
  <si>
    <t>TechID</t>
  </si>
  <si>
    <t>Name</t>
  </si>
  <si>
    <t>TEC-001</t>
  </si>
  <si>
    <t>A. Shailer</t>
  </si>
  <si>
    <t>TEC-002</t>
  </si>
  <si>
    <t>J. Okonkwo</t>
  </si>
  <si>
    <t>TEC-003</t>
  </si>
  <si>
    <t>M. Da Silva</t>
  </si>
  <si>
    <t>School of Art</t>
  </si>
  <si>
    <t>Printers</t>
  </si>
  <si>
    <t>One row per printer model. The consumable cost per square metre already accounts for typical coverage, so no separate coverage figure is needed.</t>
  </si>
  <si>
    <t>PrinterID</t>
  </si>
  <si>
    <t>Model</t>
  </si>
  <si>
    <t>Cost per m2</t>
  </si>
  <si>
    <t>Supported families</t>
  </si>
  <si>
    <t>PRN-001</t>
  </si>
  <si>
    <t>Epson SureColor P9500</t>
  </si>
  <si>
    <t>Short Roll;Long Roll</t>
  </si>
  <si>
    <t>PRN-002</t>
  </si>
  <si>
    <t>HP DesignJet Z9+</t>
  </si>
  <si>
    <t>PRN-003</t>
  </si>
  <si>
    <t>Xerox Versant 180</t>
  </si>
  <si>
    <t>PRN-004</t>
  </si>
  <si>
    <t>HP Latex 335</t>
  </si>
  <si>
    <t>Supported families is set with the Select families… button — it is not typed. A paper stock can only be used on a printer that supports its family.</t>
  </si>
  <si>
    <t>Papers</t>
  </si>
  <si>
    <t>One row per individual paper stock. Each type/size combination is its own row. All dimensions are millimetres; roll stock is bought and consumed by the metre.</t>
  </si>
  <si>
    <t>StockID</t>
  </si>
  <si>
    <t>Description</t>
  </si>
  <si>
    <t>Measure</t>
  </si>
  <si>
    <t>Size mode</t>
  </si>
  <si>
    <t>Standard size</t>
  </si>
  <si>
    <t>Cost</t>
  </si>
  <si>
    <t>Cost unit</t>
  </si>
  <si>
    <t>STK-001</t>
  </si>
  <si>
    <t>Matte 180gsm A1 sheet</t>
  </si>
  <si>
    <t>Standard</t>
  </si>
  <si>
    <t>STK-002</t>
  </si>
  <si>
    <t>Matte 180gsm A2 sheet</t>
  </si>
  <si>
    <t>STK-003</t>
  </si>
  <si>
    <t>Gloss 200gsm SRA3 sheet</t>
  </si>
  <si>
    <t>STK-004</t>
  </si>
  <si>
    <t>Uncoated 120gsm A3 sheet</t>
  </si>
  <si>
    <t>STK-005</t>
  </si>
  <si>
    <t>Satin photo 610mm roll</t>
  </si>
  <si>
    <t>STK-006</t>
  </si>
  <si>
    <t>Canvas 914mm roll</t>
  </si>
  <si>
    <t>STK-007</t>
  </si>
  <si>
    <t>Vinyl self-adhesive 1370mm roll</t>
  </si>
  <si>
    <t>STK-008</t>
  </si>
  <si>
    <t>Matte 180gsm 1067mm roll</t>
  </si>
  <si>
    <t>STK-009</t>
  </si>
  <si>
    <t>Gloss offcut 320x450 sheet</t>
  </si>
  <si>
    <t>Custom sheet</t>
  </si>
  <si>
    <t>Size mode Standard fills width and height from the standard size list. Custom sheet takes both directly. Roll takes the roll width only.</t>
  </si>
  <si>
    <t>SheetName</t>
  </si>
  <si>
    <t>Code</t>
  </si>
  <si>
    <t>Rows</t>
  </si>
  <si>
    <t>First date</t>
  </si>
  <si>
    <t>Last date</t>
  </si>
  <si>
    <t>State</t>
  </si>
  <si>
    <t>When</t>
  </si>
  <si>
    <t>User</t>
  </si>
  <si>
    <t>Action</t>
  </si>
  <si>
    <t>Location</t>
  </si>
  <si>
    <t>Detail</t>
  </si>
  <si>
    <t>Picker</t>
  </si>
  <si>
    <t>Print room</t>
  </si>
  <si>
    <t>Main Print Room</t>
  </si>
  <si>
    <t>Location code</t>
  </si>
  <si>
    <t>MAIN</t>
  </si>
  <si>
    <t>Default: disregard paper cost</t>
  </si>
  <si>
    <t>No</t>
  </si>
  <si>
    <t>Default: disregard consumable cost</t>
  </si>
  <si>
    <t>Epson SureColor P9500;HP DesignJet Z9+;Xerox Versant 180</t>
  </si>
  <si>
    <t>Sheet status</t>
  </si>
  <si>
    <t>Not yet checked</t>
  </si>
  <si>
    <t>PRINTLOC/v1</t>
  </si>
  <si>
    <t>Print room configuration</t>
  </si>
  <si>
    <t>Defaults seed each new print job. Changing them afterwards never alters rows that already exist.</t>
  </si>
  <si>
    <t>Add Print Job</t>
  </si>
  <si>
    <t>Now</t>
  </si>
  <si>
    <t>Remove Row</t>
  </si>
  <si>
    <t>Select printers…</t>
  </si>
  <si>
    <t>Check this sheet</t>
  </si>
  <si>
    <t>Clear All</t>
  </si>
  <si>
    <t>← buttons are drawn over these cells by InitialiseWorkbook</t>
  </si>
  <si>
    <t>Status</t>
  </si>
  <si>
    <t>Job ID</t>
  </si>
  <si>
    <t>Date/Time</t>
  </si>
  <si>
    <t>Student Name</t>
  </si>
  <si>
    <t>Student No</t>
  </si>
  <si>
    <t>Technician</t>
  </si>
  <si>
    <t>Printer</t>
  </si>
  <si>
    <t>Paper Stock</t>
  </si>
  <si>
    <t>Unit</t>
  </si>
  <si>
    <t>Quantity</t>
  </si>
  <si>
    <t>Print Width mm</t>
  </si>
  <si>
    <t>Disregard Paper</t>
  </si>
  <si>
    <t>Disregard Consumable</t>
  </si>
  <si>
    <t>Area m2</t>
  </si>
  <si>
    <t>Paper Cost</t>
  </si>
  <si>
    <t>Consumable Cost</t>
  </si>
  <si>
    <t>Gross Cost</t>
  </si>
  <si>
    <t>Disregarded</t>
  </si>
  <si>
    <t>Chargeable Cost</t>
  </si>
  <si>
    <t>H_Issues</t>
  </si>
  <si>
    <t>S_PrinterID</t>
  </si>
  <si>
    <t>S_StockID</t>
  </si>
  <si>
    <t>S_TechID</t>
  </si>
  <si>
    <t>S_Family</t>
  </si>
  <si>
    <t>S_Measure</t>
  </si>
  <si>
    <t>S_UnitCost</t>
  </si>
  <si>
    <t>S_StockWidth_mm</t>
  </si>
  <si>
    <t>S_SheetHeight_mm</t>
  </si>
  <si>
    <t>S_ConsRate</t>
  </si>
  <si>
    <t>S_StampedAt</t>
  </si>
  <si>
    <t>S_StampedBy</t>
  </si>
  <si>
    <t>S_SchemaVer</t>
  </si>
  <si>
    <t>UNI-MAIN-00001</t>
  </si>
  <si>
    <t>Jane Smith</t>
  </si>
  <si>
    <t>2201884</t>
  </si>
  <si>
    <t>Degree show booklets</t>
  </si>
  <si>
    <t>build</t>
  </si>
  <si>
    <t>UNI-MAIN-00002</t>
  </si>
  <si>
    <t>Full-width canvas run</t>
  </si>
  <si>
    <t>UNI-MAIN-00003</t>
  </si>
  <si>
    <t>Ravi Patel</t>
  </si>
  <si>
    <t>2203110</t>
  </si>
  <si>
    <t>600mm print on the same roll</t>
  </si>
  <si>
    <t>UNI-MAIN-00004</t>
  </si>
  <si>
    <t>Paper donated by the department</t>
  </si>
  <si>
    <t>UNI-MAIN-00005</t>
  </si>
  <si>
    <t>SAMPLE: invalid — width exceeds the roll</t>
  </si>
  <si>
    <t>Annexe Print Room</t>
  </si>
  <si>
    <t>ANNEX</t>
  </si>
  <si>
    <t>Xerox Versant 180;HP Latex 335</t>
  </si>
  <si>
    <t>UNI-ANNEX-00001</t>
  </si>
  <si>
    <t>Same student, second print room</t>
  </si>
  <si>
    <t>Location settings</t>
  </si>
  <si>
    <t>Printers are chosen with the Select printers... button (side panel below); only printers listed here can be used for jobs on this sheet.</t>
  </si>
  <si>
    <t>Permitted printers (raw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</si>
</sst>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.0000"/>
    <numFmt numFmtId="165" formatCode="\£#,##0.00"/>
    <numFmt numFmtId="166" formatCode="#,##0.###"/>
    <numFmt numFmtId="167" formatCode="#,##0.000"/>
  </numFmts>
  <fonts count="12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1"/>
      <color rgb="FF2F559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595959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0" fillId="4" borderId="1" xfId="0" applyFill="1" applyBorder="1" applyAlignment="1" applyProtection="1">
      <alignment vertical="center"/>
      <protection locked="0"/>
    </xf>
    <xf numFmtId="3" fontId="0" fillId="0" borderId="2" xfId="0" applyNumberFormat="1" applyBorder="1" applyAlignment="1" applyProtection="1">
      <alignment horizontal="right" vertical="center"/>
      <protection locked="0"/>
    </xf>
    <xf numFmtId="164" fontId="0" fillId="0" borderId="2" xfId="0" applyNumberFormat="1" applyBorder="1" applyAlignment="1" applyProtection="1">
      <alignment horizontal="right" vertical="center"/>
      <protection locked="0"/>
    </xf>
    <xf numFmtId="0" fontId="7" fillId="3" borderId="0" xfId="0" applyFont="1" applyFill="1" applyAlignment="1">
      <alignment vertical="center"/>
    </xf>
    <xf numFmtId="165" fontId="0" fillId="0" borderId="2" xfId="0" applyNumberFormat="1" applyBorder="1" applyAlignment="1" applyProtection="1">
      <alignment horizontal="right" vertical="center"/>
      <protection locked="0"/>
    </xf>
    <xf numFmtId="22" fontId="0" fillId="0" borderId="2" xfId="0" applyNumberForma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166" fontId="0" fillId="0" borderId="2" xfId="0" applyNumberFormat="1" applyBorder="1" applyAlignment="1" applyProtection="1">
      <alignment horizontal="right" vertical="center"/>
      <protection locked="0"/>
    </xf>
    <xf numFmtId="167" fontId="7" fillId="3" borderId="0" xfId="0" applyNumberFormat="1" applyFont="1" applyFill="1" applyAlignment="1">
      <alignment horizontal="right" vertical="center"/>
    </xf>
    <xf numFmtId="165" fontId="7" fillId="3" borderId="0" xfId="0" applyNumberFormat="1" applyFont="1" applyFill="1" applyAlignment="1">
      <alignment horizontal="right" vertical="center"/>
    </xf>
    <xf numFmtId="0" fontId="8" fillId="5" borderId="0" xfId="0" applyFont="1" applyFill="1"/>
    <xf numFmtId="164" fontId="8" fillId="5" borderId="0" xfId="0" applyNumberFormat="1" applyFont="1" applyFill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 vertical="center"/>
    </xf>
  </cellXfs>
  <cellStyles count="1">
    <cellStyle name="Normal" xfId="0" builtinId="0"/>
  </cellStyles>
  <dxfs count="82"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7" formatCode="#,##0.000"/>
      <fill>
        <patternFill>
          <bgColor rgb="FFF2F2F2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6" formatCode="#,##0.###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fill>
        <patternFill>
          <bgColor rgb="FFF2F2F2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27" formatCode="dd/mm/yyyy\ hh:mm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color rgb="FF808080"/>
      </font>
      <fill>
        <patternFill>
          <bgColor rgb="FFF2F2F2"/>
        </patternFill>
      </fill>
    </dxf>
    <dxf>
      <font>
        <i/>
        <color rgb="FF595959"/>
      </font>
      <fill>
        <patternFill>
          <bgColor rgb="FFF2F2F2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5" formatCode="\£#,##0.00"/>
      <fill>
        <patternFill>
          <bgColor rgb="FFF2F2F2"/>
        </patternFill>
      </fill>
    </dxf>
    <dxf>
      <font>
        <i/>
        <color rgb="FF595959"/>
      </font>
      <numFmt numFmtId="167" formatCode="#,##0.000"/>
      <fill>
        <patternFill>
          <bgColor rgb="FFF2F2F2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6" formatCode="#,##0.###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fill>
        <patternFill>
          <bgColor rgb="FFF2F2F2"/>
        </patternFill>
      </fill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27" formatCode="dd/mm/yyyy\ hh:mm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color rgb="FF808080"/>
      </font>
      <fill>
        <patternFill>
          <bgColor rgb="FFF2F2F2"/>
        </patternFill>
      </fill>
    </dxf>
    <dxf>
      <font>
        <i/>
        <color rgb="FF595959"/>
      </font>
      <fill>
        <patternFill>
          <bgColor rgb="FFF2F2F2"/>
        </patternFill>
      </fill>
    </dxf>
    <dxf>
      <font>
        <i/>
        <color rgb="FF595959"/>
      </font>
      <fill>
        <patternFill>
          <bgColor rgb="FFF2F2F2"/>
        </patternFill>
      </fill>
    </dxf>
    <dxf>
      <numFmt numFmtId="165" formatCode="\£#,##0.0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i/>
        <color rgb="FF595959"/>
      </font>
      <fill>
        <patternFill>
          <bgColor rgb="FFF2F2F2"/>
        </patternFill>
      </fill>
    </dxf>
    <dxf>
      <font>
        <color rgb="FF808080"/>
      </font>
      <fill>
        <patternFill>
          <bgColor rgb="FFF2F2F2"/>
        </patternFill>
      </fill>
    </dxf>
    <dxf>
      <font>
        <color rgb="FF808080"/>
      </font>
      <fill>
        <patternFill>
          <bgColor rgb="FFF2F2F2"/>
        </patternFill>
      </fill>
    </dxf>
    <dxf>
      <numFmt numFmtId="164" formatCode="\£#,##0.000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color rgb="FF808080"/>
      </font>
      <fill>
        <patternFill>
          <bgColor rgb="FFF2F2F2"/>
        </patternFill>
      </fill>
    </dxf>
    <dxf>
      <font>
        <color rgb="FF808080"/>
      </font>
      <fill>
        <patternFill>
          <bgColor rgb="FFF2F2F2"/>
        </patternFill>
      </fill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3" formatCode="#,##0"/>
      <border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color rgb="FF808080"/>
      </font>
      <fill>
        <patternFill>
          <bgColor rgb="FFF2F2F2"/>
        </patternFill>
      </fill>
    </dxf>
    <dxf>
      <fill>
        <patternFill>
          <bgColor rgb="FFDEEAF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95959"/>
      </font>
    </dxf>
    <dxf>
      <font>
        <color rgb="FF808080"/>
      </font>
      <fill>
        <patternFill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ttings" displayName="tblSettings" ref="A5:D15" totalsRowShown="0">
  <autoFilter ref="A5:D15" xr:uid="{00000000-0009-0000-0100-000001000000}"/>
  <tableColumns count="4">
    <tableColumn id="1" xr3:uid="{00000000-0010-0000-0000-000001000000}" name="Key" dataDxfId="81"/>
    <tableColumn id="2" xr3:uid="{00000000-0010-0000-0000-000002000000}" name="Setting" dataDxfId="80"/>
    <tableColumn id="3" xr3:uid="{00000000-0010-0000-0000-000003000000}" name="Value" dataDxfId="79"/>
    <tableColumn id="4" xr3:uid="{00000000-0010-0000-0000-000004000000}" name="Notes" dataDxfId="7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aperTypes" displayName="tblPaperTypes" ref="F5:G11" totalsRowShown="0">
  <autoFilter ref="F5:G11" xr:uid="{00000000-0009-0000-0100-000002000000}"/>
  <tableColumns count="2">
    <tableColumn id="1" xr3:uid="{00000000-0010-0000-0100-000001000000}" name="Paper type"/>
    <tableColumn id="2" xr3:uid="{00000000-0010-0000-0100-000002000000}" name="Activ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perFamilies" displayName="tblPaperFamilies" ref="I5:K8" totalsRowShown="0">
  <autoFilter ref="I5:K8" xr:uid="{00000000-0009-0000-0100-000003000000}"/>
  <tableColumns count="3">
    <tableColumn id="1" xr3:uid="{00000000-0010-0000-0200-000001000000}" name="Family"/>
    <tableColumn id="2" xr3:uid="{00000000-0010-0000-0200-000002000000}" name="Measurement basis"/>
    <tableColumn id="3" xr3:uid="{00000000-0010-0000-0200-000003000000}" name="No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tandardSizes" displayName="tblStandardSizes" ref="M5:O11" totalsRowShown="0">
  <autoFilter ref="M5:O11" xr:uid="{00000000-0009-0000-0100-000004000000}"/>
  <tableColumns count="3">
    <tableColumn id="1" xr3:uid="{00000000-0010-0000-0300-000001000000}" name="Size name"/>
    <tableColumn id="2" xr3:uid="{00000000-0010-0000-0300-000002000000}" name="Width mm" dataDxfId="77"/>
    <tableColumn id="3" xr3:uid="{00000000-0010-0000-0300-000003000000}" name="Height mm" dataDxfId="7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sumables" displayName="tblConsumables" ref="Q5:R9" totalsRowShown="0">
  <autoFilter ref="Q5:R9" xr:uid="{00000000-0009-0000-0100-000005000000}"/>
  <tableColumns count="2">
    <tableColumn id="1" xr3:uid="{00000000-0010-0000-0400-000001000000}" name="Consumable type"/>
    <tableColumn id="2" xr3:uid="{00000000-0010-0000-0400-000002000000}" name="Activ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echnicians" displayName="tblTechnicians" ref="A5:D8" totalsRowShown="0">
  <autoFilter ref="A5:D8" xr:uid="{00000000-0009-0000-0100-000006000000}"/>
  <tableColumns count="4">
    <tableColumn id="1" xr3:uid="{00000000-0010-0000-0500-000001000000}" name="TechID" dataDxfId="75"/>
    <tableColumn id="2" xr3:uid="{00000000-0010-0000-0500-000002000000}" name="Name"/>
    <tableColumn id="3" xr3:uid="{00000000-0010-0000-0500-000003000000}" name="Department"/>
    <tableColumn id="4" xr3:uid="{00000000-0010-0000-0500-000004000000}" name="Activ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rinters" displayName="tblPrinters" ref="A5:F9" totalsRowShown="0">
  <autoFilter ref="A5:F9" xr:uid="{00000000-0009-0000-0100-000007000000}"/>
  <tableColumns count="6">
    <tableColumn id="1" xr3:uid="{00000000-0010-0000-0600-000001000000}" name="PrinterID" dataDxfId="74"/>
    <tableColumn id="2" xr3:uid="{00000000-0010-0000-0600-000002000000}" name="Model"/>
    <tableColumn id="3" xr3:uid="{00000000-0010-0000-0600-000003000000}" name="Consumable type"/>
    <tableColumn id="4" xr3:uid="{00000000-0010-0000-0600-000004000000}" name="Cost per m2" dataDxfId="73"/>
    <tableColumn id="5" xr3:uid="{00000000-0010-0000-0600-000005000000}" name="Supported families" dataDxfId="72"/>
    <tableColumn id="6" xr3:uid="{00000000-0010-0000-0600-000006000000}" name="Activ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apers" displayName="tblPapers" ref="A5:L14" totalsRowShown="0">
  <autoFilter ref="A5:L14" xr:uid="{00000000-0009-0000-0100-000008000000}"/>
  <tableColumns count="12">
    <tableColumn id="1" xr3:uid="{00000000-0010-0000-0700-000001000000}" name="StockID" dataDxfId="71"/>
    <tableColumn id="2" xr3:uid="{00000000-0010-0000-0700-000002000000}" name="Description"/>
    <tableColumn id="3" xr3:uid="{00000000-0010-0000-0700-000003000000}" name="Paper type"/>
    <tableColumn id="4" xr3:uid="{00000000-0010-0000-0700-000004000000}" name="Family"/>
    <tableColumn id="5" xr3:uid="{00000000-0010-0000-0700-000005000000}" name="Measure" dataDxfId="70">
      <calculatedColumnFormula>IF(tblPapers[[#This Row],[Family]]="","",IFERROR(INDEX(tblPaperFamilies[Measurement basis],MATCH(tblPapers[[#This Row],[Family]],tblPaperFamilies[Family],0)),"?"))</calculatedColumnFormula>
    </tableColumn>
    <tableColumn id="6" xr3:uid="{00000000-0010-0000-0700-000006000000}" name="Size mode"/>
    <tableColumn id="7" xr3:uid="{00000000-0010-0000-0700-000007000000}" name="Standard size"/>
    <tableColumn id="8" xr3:uid="{00000000-0010-0000-0700-000008000000}" name="Width mm" dataDxfId="69"/>
    <tableColumn id="9" xr3:uid="{00000000-0010-0000-0700-000009000000}" name="Height mm" dataDxfId="68"/>
    <tableColumn id="10" xr3:uid="{00000000-0010-0000-0700-00000A000000}" name="Cost" dataDxfId="67"/>
    <tableColumn id="11" xr3:uid="{00000000-0010-0000-0700-00000B000000}" name="Cost unit" dataDxfId="66">
      <calculatedColumnFormula>IF(tblPapers[[#This Row],[Measure]]="","",IF(tblPapers[[#This Row],[Measure]]="Sheet","£ per sheet","£ per metre"))</calculatedColumnFormula>
    </tableColumn>
    <tableColumn id="12" xr3:uid="{00000000-0010-0000-0700-00000C000000}" name="Activ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Locations" displayName="tblLocations" ref="A1:H2" totalsRowShown="0">
  <autoFilter ref="A1:H2" xr:uid="{00000000-0009-0000-0100-000009000000}"/>
  <tableColumns count="8">
    <tableColumn id="1" xr3:uid="{00000000-0010-0000-0800-000001000000}" name="SheetName"/>
    <tableColumn id="2" xr3:uid="{00000000-0010-0000-0800-000002000000}" name="Code"/>
    <tableColumn id="3" xr3:uid="{00000000-0010-0000-0800-000003000000}" name="Name"/>
    <tableColumn id="4" xr3:uid="{00000000-0010-0000-0800-000004000000}" name="Department"/>
    <tableColumn id="5" xr3:uid="{00000000-0010-0000-0800-000005000000}" name="Rows"/>
    <tableColumn id="6" xr3:uid="{00000000-0010-0000-0800-000006000000}" name="First date"/>
    <tableColumn id="7" xr3:uid="{00000000-0010-0000-0800-000007000000}" name="Last date"/>
    <tableColumn id="8" xr3:uid="{00000000-0010-0000-0800-000008000000}" name="Stat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Audit" displayName="tblAudit" ref="A1:E2" totalsRowShown="0">
  <autoFilter ref="A1:E2" xr:uid="{00000000-0009-0000-0100-00000A000000}"/>
  <tableColumns count="5">
    <tableColumn id="1" xr3:uid="{00000000-0010-0000-0900-000001000000}" name="When"/>
    <tableColumn id="2" xr3:uid="{00000000-0010-0000-0900-000002000000}" name="User"/>
    <tableColumn id="3" xr3:uid="{00000000-0010-0000-0900-000003000000}" name="Action"/>
    <tableColumn id="4" xr3:uid="{00000000-0010-0000-0900-000004000000}" name="Location"/>
    <tableColumn id="5" xr3:uid="{00000000-0010-0000-0900-000005000000}" name="Detail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Jobs_MAIN" displayName="tblJobs_MAIN" ref="A12:AG17" totalsRowShown="0">
  <autoFilter ref="A12:AG17" xr:uid="{00000000-0009-0000-0100-00000B000000}"/>
  <tableColumns count="33">
    <tableColumn id="1" xr3:uid="{00000000-0010-0000-0A00-000001000000}" name="Status" dataDxfId="65">
      <calculatedColumnFormula>IF(tblJobs_MAIN[[#This Row],[Job ID]]="","",IF(tblJobs_MAIN[[#This Row],[H_Issues]]="","OK",MID(tblJobs_MAIN[[#This Row],[H_Issues]],3,255)))</calculatedColumnFormula>
    </tableColumn>
    <tableColumn id="2" xr3:uid="{00000000-0010-0000-0A00-000002000000}" name="Job ID" dataDxfId="64"/>
    <tableColumn id="3" xr3:uid="{00000000-0010-0000-0A00-000003000000}" name="Date/Time" dataDxfId="63"/>
    <tableColumn id="4" xr3:uid="{00000000-0010-0000-0A00-000004000000}" name="Student Name" dataDxfId="62"/>
    <tableColumn id="5" xr3:uid="{00000000-0010-0000-0A00-000005000000}" name="Student No" dataDxfId="61"/>
    <tableColumn id="6" xr3:uid="{00000000-0010-0000-0A00-000006000000}" name="Technician" dataDxfId="60"/>
    <tableColumn id="7" xr3:uid="{00000000-0010-0000-0A00-000007000000}" name="Printer" dataDxfId="59"/>
    <tableColumn id="8" xr3:uid="{00000000-0010-0000-0A00-000008000000}" name="Paper Stock" dataDxfId="58"/>
    <tableColumn id="9" xr3:uid="{00000000-0010-0000-0A00-000009000000}" name="Unit" dataDxfId="57">
      <calculatedColumnFormula>IF(tblJobs_MAIN[[#This Row],[S_Measure]]="","",IF(tblJobs_MAIN[[#This Row],[S_Measure]]="Sheet","sheets","metres"))</calculatedColumnFormula>
    </tableColumn>
    <tableColumn id="10" xr3:uid="{00000000-0010-0000-0A00-00000A000000}" name="Quantity" dataDxfId="56"/>
    <tableColumn id="11" xr3:uid="{00000000-0010-0000-0A00-00000B000000}" name="Print Width mm" dataDxfId="55"/>
    <tableColumn id="12" xr3:uid="{00000000-0010-0000-0A00-00000C000000}" name="Disregard Paper" dataDxfId="54"/>
    <tableColumn id="13" xr3:uid="{00000000-0010-0000-0A00-00000D000000}" name="Disregard Consumable" dataDxfId="53"/>
    <tableColumn id="14" xr3:uid="{00000000-0010-0000-0A00-00000E000000}" name="Area m2" dataDxfId="52">
      <calculatedColumnFormula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calculatedColumnFormula>
    </tableColumn>
    <tableColumn id="15" xr3:uid="{00000000-0010-0000-0A00-00000F000000}" name="Paper Cost" dataDxfId="51">
      <calculatedColumnFormula>IF(tblJobs_MAIN[[#This Row],[Quantity]]="","",ROUND(tblJobs_MAIN[[#This Row],[Quantity]]*tblJobs_MAIN[[#This Row],[S_UnitCost]],SET_ROUND_DP))</calculatedColumnFormula>
    </tableColumn>
    <tableColumn id="16" xr3:uid="{00000000-0010-0000-0A00-000010000000}" name="Consumable Cost" dataDxfId="50">
      <calculatedColumnFormula>IF(tblJobs_MAIN[[#This Row],[Area m2]]="","",ROUND(tblJobs_MAIN[[#This Row],[Area m2]]*tblJobs_MAIN[[#This Row],[S_ConsRate]],SET_ROUND_DP))</calculatedColumnFormula>
    </tableColumn>
    <tableColumn id="17" xr3:uid="{00000000-0010-0000-0A00-000011000000}" name="Gross Cost" dataDxfId="49">
      <calculatedColumnFormula>IF(tblJobs_MAIN[[#This Row],[Paper Cost]]="","",tblJobs_MAIN[[#This Row],[Paper Cost]]+tblJobs_MAIN[[#This Row],[Consumable Cost]])</calculatedColumnFormula>
    </tableColumn>
    <tableColumn id="18" xr3:uid="{00000000-0010-0000-0A00-000012000000}" name="Disregarded" dataDxfId="48">
      <calculatedColumnFormula>IF(tblJobs_MAIN[[#This Row],[Gross Cost]]="","",tblJobs_MAIN[[#This Row],[Gross Cost]]-tblJobs_MAIN[[#This Row],[Chargeable Cost]])</calculatedColumnFormula>
    </tableColumn>
    <tableColumn id="19" xr3:uid="{00000000-0010-0000-0A00-000013000000}" name="Chargeable Cost" dataDxfId="47">
      <calculatedColumnFormula>IF(tblJobs_MAIN[[#This Row],[Paper Cost]]="","",IF(tblJobs_MAIN[[#This Row],[Disregard Paper]]="Yes",0,tblJobs_MAIN[[#This Row],[Paper Cost]])+IF(tblJobs_MAIN[[#This Row],[Disregard Consumable]]="Yes",0,tblJobs_MAIN[[#This Row],[Consumable Cost]]))</calculatedColumnFormula>
    </tableColumn>
    <tableColumn id="20" xr3:uid="{00000000-0010-0000-0A00-000014000000}" name="Notes" dataDxfId="46"/>
    <tableColumn id="21" xr3:uid="{00000000-0010-0000-0A00-000015000000}" name="H_Issues" dataDxfId="45">
      <calculatedColumnFormula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calculatedColumnFormula>
    </tableColumn>
    <tableColumn id="22" xr3:uid="{00000000-0010-0000-0A00-000016000000}" name="S_PrinterID" dataDxfId="44"/>
    <tableColumn id="23" xr3:uid="{00000000-0010-0000-0A00-000017000000}" name="S_StockID" dataDxfId="43"/>
    <tableColumn id="24" xr3:uid="{00000000-0010-0000-0A00-000018000000}" name="S_TechID" dataDxfId="42"/>
    <tableColumn id="25" xr3:uid="{00000000-0010-0000-0A00-000019000000}" name="S_Family" dataDxfId="41"/>
    <tableColumn id="26" xr3:uid="{00000000-0010-0000-0A00-00001A000000}" name="S_Measure" dataDxfId="40"/>
    <tableColumn id="27" xr3:uid="{00000000-0010-0000-0A00-00001B000000}" name="S_UnitCost" dataDxfId="39"/>
    <tableColumn id="28" xr3:uid="{00000000-0010-0000-0A00-00001C000000}" name="S_StockWidth_mm" dataDxfId="38"/>
    <tableColumn id="29" xr3:uid="{00000000-0010-0000-0A00-00001D000000}" name="S_SheetHeight_mm" dataDxfId="37"/>
    <tableColumn id="30" xr3:uid="{00000000-0010-0000-0A00-00001E000000}" name="S_ConsRate" dataDxfId="36"/>
    <tableColumn id="31" xr3:uid="{00000000-0010-0000-0A00-00001F000000}" name="S_StampedAt" dataDxfId="35"/>
    <tableColumn id="32" xr3:uid="{00000000-0010-0000-0A00-000020000000}" name="S_StampedBy" dataDxfId="34"/>
    <tableColumn id="33" xr3:uid="{00000000-0010-0000-0A00-000021000000}" name="S_SchemaVer" dataDxfId="33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Jobs_ANNEX" displayName="tblJobs_ANNEX" ref="A12:AG13" totalsRowShown="0">
  <autoFilter ref="A12:AG13" xr:uid="{00000000-0009-0000-0100-00000C000000}"/>
  <tableColumns count="33">
    <tableColumn id="1" xr3:uid="{00000000-0010-0000-0B00-000001000000}" name="Status" dataDxfId="32">
      <calculatedColumnFormula>IF(tblJobs_ANNEX[[#This Row],[Job ID]]="","",IF(tblJobs_ANNEX[[#This Row],[H_Issues]]="","OK",MID(tblJobs_ANNEX[[#This Row],[H_Issues]],3,255)))</calculatedColumnFormula>
    </tableColumn>
    <tableColumn id="2" xr3:uid="{00000000-0010-0000-0B00-000002000000}" name="Job ID" dataDxfId="31"/>
    <tableColumn id="3" xr3:uid="{00000000-0010-0000-0B00-000003000000}" name="Date/Time" dataDxfId="30"/>
    <tableColumn id="4" xr3:uid="{00000000-0010-0000-0B00-000004000000}" name="Student Name" dataDxfId="29"/>
    <tableColumn id="5" xr3:uid="{00000000-0010-0000-0B00-000005000000}" name="Student No" dataDxfId="28"/>
    <tableColumn id="6" xr3:uid="{00000000-0010-0000-0B00-000006000000}" name="Technician" dataDxfId="27"/>
    <tableColumn id="7" xr3:uid="{00000000-0010-0000-0B00-000007000000}" name="Printer" dataDxfId="26"/>
    <tableColumn id="8" xr3:uid="{00000000-0010-0000-0B00-000008000000}" name="Paper Stock" dataDxfId="25"/>
    <tableColumn id="9" xr3:uid="{00000000-0010-0000-0B00-000009000000}" name="Unit" dataDxfId="24">
      <calculatedColumnFormula>IF(tblJobs_ANNEX[[#This Row],[S_Measure]]="","",IF(tblJobs_ANNEX[[#This Row],[S_Measure]]="Sheet","sheets","metres"))</calculatedColumnFormula>
    </tableColumn>
    <tableColumn id="10" xr3:uid="{00000000-0010-0000-0B00-00000A000000}" name="Quantity" dataDxfId="23"/>
    <tableColumn id="11" xr3:uid="{00000000-0010-0000-0B00-00000B000000}" name="Print Width mm" dataDxfId="22"/>
    <tableColumn id="12" xr3:uid="{00000000-0010-0000-0B00-00000C000000}" name="Disregard Paper" dataDxfId="21"/>
    <tableColumn id="13" xr3:uid="{00000000-0010-0000-0B00-00000D000000}" name="Disregard Consumable" dataDxfId="20"/>
    <tableColumn id="14" xr3:uid="{00000000-0010-0000-0B00-00000E000000}" name="Area m2" dataDxfId="19">
      <calculatedColumnFormula>IF(tblJobs_ANNEX[[#This Row],[Quantity]]="","",IF(tblJobs_ANNEX[[#This Row],[S_Measure]]="Sheet",(tblJobs_ANNEX[[#This Row],[S_StockWidth_mm]]/1000)*(tblJobs_ANNEX[[#This Row],[S_SheetHeight_mm]]/1000)*tblJobs_ANNEX[[#This Row],[Quantity]],(IF(tblJobs_ANNEX[[#This Row],[Print Width mm]]="",tblJobs_ANNEX[[#This Row],[S_StockWidth_mm]],tblJobs_ANNEX[[#This Row],[Print Width mm]])/1000)*tblJobs_ANNEX[[#This Row],[Quantity]]))</calculatedColumnFormula>
    </tableColumn>
    <tableColumn id="15" xr3:uid="{00000000-0010-0000-0B00-00000F000000}" name="Paper Cost" dataDxfId="18">
      <calculatedColumnFormula>IF(tblJobs_ANNEX[[#This Row],[Quantity]]="","",ROUND(tblJobs_ANNEX[[#This Row],[Quantity]]*tblJobs_ANNEX[[#This Row],[S_UnitCost]],SET_ROUND_DP))</calculatedColumnFormula>
    </tableColumn>
    <tableColumn id="16" xr3:uid="{00000000-0010-0000-0B00-000010000000}" name="Consumable Cost" dataDxfId="17">
      <calculatedColumnFormula>IF(tblJobs_ANNEX[[#This Row],[Area m2]]="","",ROUND(tblJobs_ANNEX[[#This Row],[Area m2]]*tblJobs_ANNEX[[#This Row],[S_ConsRate]],SET_ROUND_DP))</calculatedColumnFormula>
    </tableColumn>
    <tableColumn id="17" xr3:uid="{00000000-0010-0000-0B00-000011000000}" name="Gross Cost" dataDxfId="16">
      <calculatedColumnFormula>IF(tblJobs_ANNEX[[#This Row],[Paper Cost]]="","",tblJobs_ANNEX[[#This Row],[Paper Cost]]+tblJobs_ANNEX[[#This Row],[Consumable Cost]])</calculatedColumnFormula>
    </tableColumn>
    <tableColumn id="18" xr3:uid="{00000000-0010-0000-0B00-000012000000}" name="Disregarded" dataDxfId="15">
      <calculatedColumnFormula>IF(tblJobs_ANNEX[[#This Row],[Gross Cost]]="","",tblJobs_ANNEX[[#This Row],[Gross Cost]]-tblJobs_ANNEX[[#This Row],[Chargeable Cost]])</calculatedColumnFormula>
    </tableColumn>
    <tableColumn id="19" xr3:uid="{00000000-0010-0000-0B00-000013000000}" name="Chargeable Cost" dataDxfId="14">
      <calculatedColumnFormula>IF(tblJobs_ANNEX[[#This Row],[Paper Cost]]="","",IF(tblJobs_ANNEX[[#This Row],[Disregard Paper]]="Yes",0,tblJobs_ANNEX[[#This Row],[Paper Cost]])+IF(tblJobs_ANNEX[[#This Row],[Disregard Consumable]]="Yes",0,tblJobs_ANNEX[[#This Row],[Consumable Cost]]))</calculatedColumnFormula>
    </tableColumn>
    <tableColumn id="20" xr3:uid="{00000000-0010-0000-0B00-000014000000}" name="Notes" dataDxfId="13"/>
    <tableColumn id="21" xr3:uid="{00000000-0010-0000-0B00-000015000000}" name="H_Issues" dataDxfId="12">
      <calculatedColumnFormula>IF(tblJobs_ANNEX[[#This Row],[Job ID]]="","",IF(tblJobs_ANNEX[[#This Row],[Date/Time]]="","; Date and time required","")&amp;IF(AND(tblJobs_ANNEX[[#This Row],[Student Name]]="",tblJobs_ANNEX[[#This Row],[Student No]]=""),"; Student name or number required","")&amp;IF(tblJobs_ANNEX[[#This Row],[Technician]]="","; Technician required","")&amp;IF(tblJobs_ANNEX[[#This Row],[Printer]]="","; Printer required","")&amp;IF(tblJobs_ANNEX[[#This Row],[Paper Stock]]="","; Paper stock required","")&amp;IF(tblJobs_ANNEX[[#This Row],[Quantity]]="","; Quantity required",IF(tblJobs_ANNEX[[#This Row],[Quantity]]&lt;=0,"; Quantity must be greater than zero",""))&amp;IF(AND(tblJobs_ANNEX[[#This Row],[S_Measure]]="Sheet",tblJobs_ANNEX[[#This Row],[Quantity]]&lt;&gt;"",tblJobs_ANNEX[[#This Row],[Quantity]]&lt;&gt;INT(tblJobs_ANNEX[[#This Row],[Quantity]])),"; Sheet quantity must be a whole number","")&amp;IF(AND(tblJobs_ANNEX[[#This Row],[S_Measure]]="Sheet",tblJobs_ANNEX[[#This Row],[Print Width mm]]&lt;&gt;""),"; Print width does not apply to sheet stock","")&amp;IF(AND(tblJobs_ANNEX[[#This Row],[Print Width mm]]&lt;&gt;"",tblJobs_ANNEX[[#This Row],[Print Width mm]]&gt;tblJobs_ANNEX[[#This Row],[S_StockWidth_mm]]),"; Print width exceeds stock width",""))</calculatedColumnFormula>
    </tableColumn>
    <tableColumn id="22" xr3:uid="{00000000-0010-0000-0B00-000016000000}" name="S_PrinterID" dataDxfId="11"/>
    <tableColumn id="23" xr3:uid="{00000000-0010-0000-0B00-000017000000}" name="S_StockID" dataDxfId="10"/>
    <tableColumn id="24" xr3:uid="{00000000-0010-0000-0B00-000018000000}" name="S_TechID" dataDxfId="9"/>
    <tableColumn id="25" xr3:uid="{00000000-0010-0000-0B00-000019000000}" name="S_Family" dataDxfId="8"/>
    <tableColumn id="26" xr3:uid="{00000000-0010-0000-0B00-00001A000000}" name="S_Measure" dataDxfId="7"/>
    <tableColumn id="27" xr3:uid="{00000000-0010-0000-0B00-00001B000000}" name="S_UnitCost" dataDxfId="6"/>
    <tableColumn id="28" xr3:uid="{00000000-0010-0000-0B00-00001C000000}" name="S_StockWidth_mm" dataDxfId="5"/>
    <tableColumn id="29" xr3:uid="{00000000-0010-0000-0B00-00001D000000}" name="S_SheetHeight_mm" dataDxfId="4"/>
    <tableColumn id="30" xr3:uid="{00000000-0010-0000-0B00-00001E000000}" name="S_ConsRate" dataDxfId="3"/>
    <tableColumn id="31" xr3:uid="{00000000-0010-0000-0B00-00001F000000}" name="S_StampedAt" dataDxfId="2"/>
    <tableColumn id="32" xr3:uid="{00000000-0010-0000-0B00-000020000000}" name="S_StampedBy" dataDxfId="1"/>
    <tableColumn id="33" xr3:uid="{00000000-0010-0000-0B00-000021000000}" name="S_SchemaV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26.7265625" customWidth="1"/>
    <col min="3" max="3" width="20.7265625" customWidth="1"/>
    <col min="4" max="4" width="60.7265625" customWidth="1"/>
    <col min="6" max="6" width="22.7265625" customWidth="1"/>
    <col min="7" max="7" width="9.7265625" customWidth="1"/>
    <col min="9" max="9" width="16.7265625" customWidth="1"/>
    <col min="10" max="10" width="20.7265625" customWidth="1"/>
    <col min="11" max="11" width="46.7265625" customWidth="1"/>
    <col min="13" max="13" width="12.7265625" customWidth="1"/>
    <col min="14" max="15" width="11.7265625" customWidth="1"/>
    <col min="17" max="17" width="18.7265625" customWidth="1"/>
    <col min="18" max="18" width="9.7265625" customWidth="1"/>
    <col min="20" max="20" width="20.7265625" customWidth="1"/>
  </cols>
  <sheetData>
    <row r="1" spans="1:20" ht="21" x14ac:dyDescent="0.35">
      <c r="A1" s="1" t="s">
        <v>0</v>
      </c>
    </row>
    <row r="2" spans="1:20" x14ac:dyDescent="0.35">
      <c r="A2" s="2" t="s">
        <v>1</v>
      </c>
      <c r="T2" s="3" t="s">
        <v>76</v>
      </c>
    </row>
    <row r="3" spans="1:20" x14ac:dyDescent="0.35">
      <c r="T3" s="2" t="s">
        <v>77</v>
      </c>
    </row>
    <row r="4" spans="1:20" x14ac:dyDescent="0.35">
      <c r="A4" s="3" t="s">
        <v>2</v>
      </c>
      <c r="F4" s="3" t="s">
        <v>40</v>
      </c>
      <c r="I4" s="3" t="s">
        <v>50</v>
      </c>
      <c r="M4" s="3" t="s">
        <v>60</v>
      </c>
      <c r="Q4" s="3" t="s">
        <v>70</v>
      </c>
    </row>
    <row r="5" spans="1:20" x14ac:dyDescent="0.35">
      <c r="A5" s="4" t="s">
        <v>3</v>
      </c>
      <c r="B5" s="4" t="s">
        <v>4</v>
      </c>
      <c r="C5" s="4" t="s">
        <v>5</v>
      </c>
      <c r="D5" s="4" t="s">
        <v>6</v>
      </c>
      <c r="F5" s="4" t="s">
        <v>41</v>
      </c>
      <c r="G5" s="4" t="s">
        <v>42</v>
      </c>
      <c r="I5" s="4" t="s">
        <v>51</v>
      </c>
      <c r="J5" s="4" t="s">
        <v>52</v>
      </c>
      <c r="K5" s="4" t="s">
        <v>6</v>
      </c>
      <c r="M5" s="4" t="s">
        <v>61</v>
      </c>
      <c r="N5" s="4" t="s">
        <v>62</v>
      </c>
      <c r="O5" s="4" t="s">
        <v>63</v>
      </c>
      <c r="Q5" s="4" t="s">
        <v>71</v>
      </c>
      <c r="R5" s="4" t="s">
        <v>42</v>
      </c>
    </row>
    <row r="6" spans="1:20" x14ac:dyDescent="0.35">
      <c r="A6" s="5" t="s">
        <v>7</v>
      </c>
      <c r="B6" s="6" t="s">
        <v>8</v>
      </c>
      <c r="C6" s="7" t="s">
        <v>9</v>
      </c>
      <c r="D6" s="5" t="s">
        <v>10</v>
      </c>
      <c r="F6" t="s">
        <v>43</v>
      </c>
      <c r="G6" t="s">
        <v>44</v>
      </c>
      <c r="I6" t="s">
        <v>53</v>
      </c>
      <c r="J6" t="s">
        <v>53</v>
      </c>
      <c r="K6" t="s">
        <v>54</v>
      </c>
      <c r="M6" t="s">
        <v>64</v>
      </c>
      <c r="N6" s="8">
        <v>841</v>
      </c>
      <c r="O6" s="8">
        <v>1189</v>
      </c>
      <c r="Q6" t="s">
        <v>72</v>
      </c>
      <c r="R6" t="s">
        <v>44</v>
      </c>
    </row>
    <row r="7" spans="1:20" x14ac:dyDescent="0.35">
      <c r="A7" s="5" t="s">
        <v>11</v>
      </c>
      <c r="B7" s="6" t="s">
        <v>12</v>
      </c>
      <c r="C7" s="7" t="s">
        <v>13</v>
      </c>
      <c r="D7" s="5"/>
      <c r="F7" t="s">
        <v>45</v>
      </c>
      <c r="G7" t="s">
        <v>44</v>
      </c>
      <c r="I7" t="s">
        <v>55</v>
      </c>
      <c r="J7" t="s">
        <v>56</v>
      </c>
      <c r="K7" t="s">
        <v>57</v>
      </c>
      <c r="M7" t="s">
        <v>65</v>
      </c>
      <c r="N7" s="8">
        <v>594</v>
      </c>
      <c r="O7" s="8">
        <v>841</v>
      </c>
      <c r="Q7" t="s">
        <v>73</v>
      </c>
      <c r="R7" t="s">
        <v>44</v>
      </c>
    </row>
    <row r="8" spans="1:20" x14ac:dyDescent="0.35">
      <c r="A8" s="5" t="s">
        <v>14</v>
      </c>
      <c r="B8" s="6" t="s">
        <v>15</v>
      </c>
      <c r="C8" s="7" t="s">
        <v>16</v>
      </c>
      <c r="D8" s="5" t="s">
        <v>17</v>
      </c>
      <c r="F8" t="s">
        <v>46</v>
      </c>
      <c r="G8" t="s">
        <v>44</v>
      </c>
      <c r="I8" t="s">
        <v>58</v>
      </c>
      <c r="J8" t="s">
        <v>56</v>
      </c>
      <c r="K8" t="s">
        <v>59</v>
      </c>
      <c r="M8" t="s">
        <v>66</v>
      </c>
      <c r="N8" s="8">
        <v>420</v>
      </c>
      <c r="O8" s="8">
        <v>594</v>
      </c>
      <c r="Q8" t="s">
        <v>74</v>
      </c>
      <c r="R8" t="s">
        <v>44</v>
      </c>
    </row>
    <row r="9" spans="1:20" x14ac:dyDescent="0.35">
      <c r="A9" s="5" t="s">
        <v>18</v>
      </c>
      <c r="B9" s="6" t="s">
        <v>19</v>
      </c>
      <c r="C9" s="7" t="s">
        <v>20</v>
      </c>
      <c r="D9" s="5"/>
      <c r="F9" t="s">
        <v>47</v>
      </c>
      <c r="G9" t="s">
        <v>44</v>
      </c>
      <c r="M9" t="s">
        <v>67</v>
      </c>
      <c r="N9" s="8">
        <v>297</v>
      </c>
      <c r="O9" s="8">
        <v>420</v>
      </c>
      <c r="Q9" t="s">
        <v>75</v>
      </c>
      <c r="R9" t="s">
        <v>44</v>
      </c>
    </row>
    <row r="10" spans="1:20" x14ac:dyDescent="0.35">
      <c r="A10" s="5" t="s">
        <v>21</v>
      </c>
      <c r="B10" s="6" t="s">
        <v>22</v>
      </c>
      <c r="C10" s="7" t="s">
        <v>23</v>
      </c>
      <c r="D10" s="5" t="s">
        <v>24</v>
      </c>
      <c r="F10" t="s">
        <v>48</v>
      </c>
      <c r="G10" t="s">
        <v>44</v>
      </c>
      <c r="M10" t="s">
        <v>68</v>
      </c>
      <c r="N10" s="8">
        <v>210</v>
      </c>
      <c r="O10" s="8">
        <v>297</v>
      </c>
    </row>
    <row r="11" spans="1:20" x14ac:dyDescent="0.35">
      <c r="A11" s="5" t="s">
        <v>25</v>
      </c>
      <c r="B11" s="6" t="s">
        <v>26</v>
      </c>
      <c r="C11" s="7">
        <v>2</v>
      </c>
      <c r="D11" s="5" t="s">
        <v>27</v>
      </c>
      <c r="F11" t="s">
        <v>49</v>
      </c>
      <c r="G11" t="s">
        <v>44</v>
      </c>
      <c r="M11" t="s">
        <v>69</v>
      </c>
      <c r="N11" s="8">
        <v>320</v>
      </c>
      <c r="O11" s="8">
        <v>450</v>
      </c>
    </row>
    <row r="12" spans="1:20" x14ac:dyDescent="0.35">
      <c r="A12" s="5" t="s">
        <v>28</v>
      </c>
      <c r="B12" s="6" t="s">
        <v>29</v>
      </c>
      <c r="C12" s="7"/>
      <c r="D12" s="5"/>
    </row>
    <row r="13" spans="1:20" x14ac:dyDescent="0.35">
      <c r="A13" s="5" t="s">
        <v>30</v>
      </c>
      <c r="B13" s="6" t="s">
        <v>31</v>
      </c>
      <c r="C13" s="7" t="s">
        <v>32</v>
      </c>
      <c r="D13" s="5"/>
    </row>
    <row r="14" spans="1:20" x14ac:dyDescent="0.35">
      <c r="A14" s="5" t="s">
        <v>33</v>
      </c>
      <c r="B14" s="6" t="s">
        <v>34</v>
      </c>
      <c r="C14" s="7" t="s">
        <v>35</v>
      </c>
      <c r="D14" s="5" t="s">
        <v>36</v>
      </c>
    </row>
    <row r="15" spans="1:20" x14ac:dyDescent="0.35">
      <c r="A15" s="5" t="s">
        <v>37</v>
      </c>
      <c r="B15" s="6" t="s">
        <v>38</v>
      </c>
      <c r="C15" s="7"/>
      <c r="D15" s="5" t="s">
        <v>39</v>
      </c>
    </row>
  </sheetData>
  <dataValidations count="3">
    <dataValidation type="list" allowBlank="1" showInputMessage="1" showErrorMessage="1" errorTitle="Measurement basis" error="Sheet stock is counted in sheets; roll stock is counted in metres. This choice drives how the workbook measures and prices the stock." promptTitle="Measurement basis" prompt="Sheet stock is counted in sheets; roll stock is counted in metres. This choice drives how the workbook measures and prices the stock." sqref="J6:J2000" xr:uid="{00000000-0002-0000-0000-000000000000}">
      <formula1>"Sheet,Roll"</formula1>
    </dataValidation>
    <dataValidation type="list" allowBlank="1" showInputMessage="1" showErrorMessage="1" sqref="G6:G2000 R6:R2000" xr:uid="{00000000-0002-0000-0000-000001000000}">
      <formula1>"Yes,No"</formula1>
    </dataValidation>
    <dataValidation type="decimal" operator="greaterThan" allowBlank="1" showInputMessage="1" showErrorMessage="1" errorTitle="Dimension" error="Enter the size in millimetres." promptTitle="Dimension" prompt="Enter the size in millimetres." sqref="N6:O2000" xr:uid="{00000000-0002-0000-0000-000003000000}">
      <formula1>0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0.7265625" customWidth="1"/>
    <col min="2" max="2" width="30.7265625" customWidth="1"/>
    <col min="3" max="3" width="28.7265625" customWidth="1"/>
    <col min="4" max="4" width="9.7265625" customWidth="1"/>
  </cols>
  <sheetData>
    <row r="1" spans="1:4" ht="21" x14ac:dyDescent="0.35">
      <c r="A1" s="1" t="s">
        <v>78</v>
      </c>
    </row>
    <row r="2" spans="1:4" x14ac:dyDescent="0.35">
      <c r="A2" s="2" t="s">
        <v>79</v>
      </c>
    </row>
    <row r="5" spans="1:4" x14ac:dyDescent="0.35">
      <c r="A5" s="4" t="s">
        <v>80</v>
      </c>
      <c r="B5" s="4" t="s">
        <v>81</v>
      </c>
      <c r="C5" s="4" t="s">
        <v>19</v>
      </c>
      <c r="D5" s="4" t="s">
        <v>42</v>
      </c>
    </row>
    <row r="6" spans="1:4" x14ac:dyDescent="0.35">
      <c r="A6" s="5" t="s">
        <v>82</v>
      </c>
      <c r="B6" t="s">
        <v>83</v>
      </c>
      <c r="C6" t="s">
        <v>20</v>
      </c>
      <c r="D6" t="s">
        <v>44</v>
      </c>
    </row>
    <row r="7" spans="1:4" x14ac:dyDescent="0.35">
      <c r="A7" s="5" t="s">
        <v>84</v>
      </c>
      <c r="B7" t="s">
        <v>85</v>
      </c>
      <c r="C7" t="s">
        <v>20</v>
      </c>
      <c r="D7" t="s">
        <v>44</v>
      </c>
    </row>
    <row r="8" spans="1:4" x14ac:dyDescent="0.35">
      <c r="A8" s="5" t="s">
        <v>86</v>
      </c>
      <c r="B8" t="s">
        <v>87</v>
      </c>
      <c r="C8" t="s">
        <v>88</v>
      </c>
      <c r="D8" t="s">
        <v>44</v>
      </c>
    </row>
  </sheetData>
  <dataValidations count="1">
    <dataValidation type="list" allowBlank="1" showInputMessage="1" showErrorMessage="1" errorTitle="Active" error="Set to No to retire a technician. Existing records keep working; the name stops appearing for new print jobs." promptTitle="Active" prompt="Set to No to retire a technician. Existing records keep working; the name stops appearing for new print jobs." sqref="D6:D2000" xr:uid="{00000000-0002-0000-01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tabSelected="1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1.7265625" customWidth="1"/>
    <col min="2" max="2" width="30.7265625" customWidth="1"/>
    <col min="3" max="3" width="17.7265625" customWidth="1"/>
    <col min="4" max="4" width="13.7265625" customWidth="1"/>
    <col min="5" max="5" width="34.7265625" customWidth="1"/>
    <col min="6" max="6" width="9.7265625" customWidth="1"/>
  </cols>
  <sheetData>
    <row r="1" spans="1:8" ht="21" x14ac:dyDescent="0.35">
      <c r="A1" s="1" t="s">
        <v>89</v>
      </c>
    </row>
    <row r="2" spans="1:8" x14ac:dyDescent="0.35">
      <c r="A2" s="2" t="s">
        <v>90</v>
      </c>
    </row>
    <row r="4" spans="1:8" x14ac:dyDescent="0.35">
      <c r="H4" s="2" t="s">
        <v>104</v>
      </c>
    </row>
    <row r="5" spans="1:8" x14ac:dyDescent="0.35">
      <c r="A5" s="4" t="s">
        <v>91</v>
      </c>
      <c r="B5" s="4" t="s">
        <v>92</v>
      </c>
      <c r="C5" s="4" t="s">
        <v>71</v>
      </c>
      <c r="D5" s="4" t="s">
        <v>93</v>
      </c>
      <c r="E5" s="4" t="s">
        <v>94</v>
      </c>
      <c r="F5" s="4" t="s">
        <v>42</v>
      </c>
    </row>
    <row r="6" spans="1:8" x14ac:dyDescent="0.35">
      <c r="A6" s="5" t="s">
        <v>95</v>
      </c>
      <c r="B6" t="s">
        <v>96</v>
      </c>
      <c r="C6" t="s">
        <v>72</v>
      </c>
      <c r="D6" s="9">
        <v>2.85</v>
      </c>
      <c r="E6" s="5" t="s">
        <v>97</v>
      </c>
      <c r="F6" t="s">
        <v>44</v>
      </c>
    </row>
    <row r="7" spans="1:8" x14ac:dyDescent="0.35">
      <c r="A7" s="5" t="s">
        <v>98</v>
      </c>
      <c r="B7" t="s">
        <v>99</v>
      </c>
      <c r="C7" t="s">
        <v>72</v>
      </c>
      <c r="D7" s="9">
        <v>2.4</v>
      </c>
      <c r="E7" s="5" t="s">
        <v>55</v>
      </c>
      <c r="F7" t="s">
        <v>44</v>
      </c>
    </row>
    <row r="8" spans="1:8" x14ac:dyDescent="0.35">
      <c r="A8" s="5" t="s">
        <v>100</v>
      </c>
      <c r="B8" t="s">
        <v>101</v>
      </c>
      <c r="C8" t="s">
        <v>73</v>
      </c>
      <c r="D8" s="9">
        <v>0.95</v>
      </c>
      <c r="E8" s="5" t="s">
        <v>53</v>
      </c>
      <c r="F8" t="s">
        <v>44</v>
      </c>
    </row>
    <row r="9" spans="1:8" x14ac:dyDescent="0.35">
      <c r="A9" s="5" t="s">
        <v>102</v>
      </c>
      <c r="B9" t="s">
        <v>103</v>
      </c>
      <c r="C9" t="s">
        <v>75</v>
      </c>
      <c r="D9" s="9">
        <v>1.75</v>
      </c>
      <c r="E9" s="5" t="s">
        <v>58</v>
      </c>
      <c r="F9" t="s">
        <v>44</v>
      </c>
    </row>
  </sheetData>
  <dataValidations count="3">
    <dataValidation type="list" allowBlank="1" showInputMessage="1" showErrorMessage="1" sqref="C6:C2000" xr:uid="{00000000-0002-0000-0200-000000000000}">
      <formula1>lstConsumables</formula1>
    </dataValidation>
    <dataValidation type="decimal" operator="greaterThanOrEqual" showInputMessage="1" showErrorMessage="1" errorTitle="Consumable cost" error="Estimated consumable cost to print one square metre, including typical coverage. Must be zero or more." promptTitle="Consumable cost" prompt="Estimated consumable cost to print one square metre, including typical coverage. Must be zero or more." sqref="D6:D2000" xr:uid="{00000000-0002-0000-0200-000001000000}">
      <formula1>0</formula1>
    </dataValidation>
    <dataValidation type="list" allowBlank="1" showInputMessage="1" showErrorMessage="1" sqref="F6:F2000" xr:uid="{00000000-0002-0000-0200-000002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showGridLines="0" workbookViewId="0">
      <pane ySplit="5" topLeftCell="A6" activePane="bottomLeft" state="frozen"/>
      <selection pane="bottomLeft" activeCell="H5" sqref="H5"/>
    </sheetView>
  </sheetViews>
  <sheetFormatPr defaultRowHeight="14.5" x14ac:dyDescent="0.35"/>
  <cols>
    <col min="1" max="1" width="10.7265625" customWidth="1"/>
    <col min="2" max="2" width="34.7265625" customWidth="1"/>
    <col min="3" max="4" width="14.7265625" customWidth="1"/>
    <col min="5" max="5" width="10.7265625" customWidth="1"/>
    <col min="6" max="6" width="14.7265625" customWidth="1"/>
    <col min="7" max="7" width="13.7265625" customWidth="1"/>
    <col min="8" max="10" width="10.7265625" customWidth="1"/>
    <col min="11" max="11" width="14.7265625" customWidth="1"/>
    <col min="12" max="12" width="9.7265625" customWidth="1"/>
  </cols>
  <sheetData>
    <row r="1" spans="1:14" ht="21" x14ac:dyDescent="0.35">
      <c r="A1" s="1" t="s">
        <v>105</v>
      </c>
    </row>
    <row r="2" spans="1:14" x14ac:dyDescent="0.35">
      <c r="A2" s="2" t="s">
        <v>106</v>
      </c>
    </row>
    <row r="4" spans="1:14" x14ac:dyDescent="0.35">
      <c r="N4" s="2" t="s">
        <v>134</v>
      </c>
    </row>
    <row r="5" spans="1:14" x14ac:dyDescent="0.35">
      <c r="A5" s="4" t="s">
        <v>107</v>
      </c>
      <c r="B5" s="4" t="s">
        <v>108</v>
      </c>
      <c r="C5" s="4" t="s">
        <v>41</v>
      </c>
      <c r="D5" s="4" t="s">
        <v>51</v>
      </c>
      <c r="E5" s="4" t="s">
        <v>109</v>
      </c>
      <c r="F5" s="4" t="s">
        <v>110</v>
      </c>
      <c r="G5" s="4" t="s">
        <v>111</v>
      </c>
      <c r="H5" s="4" t="s">
        <v>62</v>
      </c>
      <c r="I5" s="4" t="s">
        <v>63</v>
      </c>
      <c r="J5" s="4" t="s">
        <v>112</v>
      </c>
      <c r="K5" s="4" t="s">
        <v>113</v>
      </c>
      <c r="L5" s="4" t="s">
        <v>42</v>
      </c>
    </row>
    <row r="6" spans="1:14" x14ac:dyDescent="0.35">
      <c r="A6" s="5" t="s">
        <v>114</v>
      </c>
      <c r="B6" t="s">
        <v>115</v>
      </c>
      <c r="C6" t="s">
        <v>46</v>
      </c>
      <c r="D6" t="s">
        <v>53</v>
      </c>
      <c r="E6" s="10" t="str">
        <f>IF(tblPapers[[#This Row],[Family]]="","",IFERROR(INDEX(tblPaperFamilies[Measurement basis],MATCH(tblPapers[[#This Row],[Family]],tblPaperFamilies[Family],0)),"?"))</f>
        <v>Sheet</v>
      </c>
      <c r="F6" t="s">
        <v>116</v>
      </c>
      <c r="G6" t="s">
        <v>65</v>
      </c>
      <c r="H6" s="8">
        <v>594</v>
      </c>
      <c r="I6" s="8">
        <v>841</v>
      </c>
      <c r="J6" s="11">
        <v>0.42</v>
      </c>
      <c r="K6" s="10" t="str">
        <f>IF(tblPapers[[#This Row],[Measure]]="","",IF(tblPapers[[#This Row],[Measure]]="Sheet","£ per sheet","£ per metre"))</f>
        <v>£ per sheet</v>
      </c>
      <c r="L6" t="s">
        <v>44</v>
      </c>
    </row>
    <row r="7" spans="1:14" x14ac:dyDescent="0.35">
      <c r="A7" s="5" t="s">
        <v>117</v>
      </c>
      <c r="B7" t="s">
        <v>118</v>
      </c>
      <c r="C7" t="s">
        <v>46</v>
      </c>
      <c r="D7" t="s">
        <v>53</v>
      </c>
      <c r="E7" s="10" t="str">
        <f>IF(tblPapers[[#This Row],[Family]]="","",IFERROR(INDEX(tblPaperFamilies[Measurement basis],MATCH(tblPapers[[#This Row],[Family]],tblPaperFamilies[Family],0)),"?"))</f>
        <v>Sheet</v>
      </c>
      <c r="F7" t="s">
        <v>116</v>
      </c>
      <c r="G7" t="s">
        <v>66</v>
      </c>
      <c r="H7" s="8">
        <v>420</v>
      </c>
      <c r="I7" s="8">
        <v>594</v>
      </c>
      <c r="J7" s="11">
        <v>0.24</v>
      </c>
      <c r="K7" s="10" t="str">
        <f>IF(tblPapers[[#This Row],[Measure]]="","",IF(tblPapers[[#This Row],[Measure]]="Sheet","£ per sheet","£ per metre"))</f>
        <v>£ per sheet</v>
      </c>
      <c r="L7" t="s">
        <v>44</v>
      </c>
    </row>
    <row r="8" spans="1:14" x14ac:dyDescent="0.35">
      <c r="A8" s="5" t="s">
        <v>119</v>
      </c>
      <c r="B8" t="s">
        <v>120</v>
      </c>
      <c r="C8" t="s">
        <v>45</v>
      </c>
      <c r="D8" t="s">
        <v>53</v>
      </c>
      <c r="E8" s="10" t="str">
        <f>IF(tblPapers[[#This Row],[Family]]="","",IFERROR(INDEX(tblPaperFamilies[Measurement basis],MATCH(tblPapers[[#This Row],[Family]],tblPaperFamilies[Family],0)),"?"))</f>
        <v>Sheet</v>
      </c>
      <c r="F8" t="s">
        <v>116</v>
      </c>
      <c r="G8" t="s">
        <v>69</v>
      </c>
      <c r="H8" s="8">
        <v>320</v>
      </c>
      <c r="I8" s="8">
        <v>450</v>
      </c>
      <c r="J8" s="11">
        <v>0.31</v>
      </c>
      <c r="K8" s="10" t="str">
        <f>IF(tblPapers[[#This Row],[Measure]]="","",IF(tblPapers[[#This Row],[Measure]]="Sheet","£ per sheet","£ per metre"))</f>
        <v>£ per sheet</v>
      </c>
      <c r="L8" t="s">
        <v>44</v>
      </c>
    </row>
    <row r="9" spans="1:14" x14ac:dyDescent="0.35">
      <c r="A9" s="5" t="s">
        <v>121</v>
      </c>
      <c r="B9" t="s">
        <v>122</v>
      </c>
      <c r="C9" t="s">
        <v>49</v>
      </c>
      <c r="D9" t="s">
        <v>53</v>
      </c>
      <c r="E9" s="10" t="str">
        <f>IF(tblPapers[[#This Row],[Family]]="","",IFERROR(INDEX(tblPaperFamilies[Measurement basis],MATCH(tblPapers[[#This Row],[Family]],tblPaperFamilies[Family],0)),"?"))</f>
        <v>Sheet</v>
      </c>
      <c r="F9" t="s">
        <v>116</v>
      </c>
      <c r="G9" t="s">
        <v>67</v>
      </c>
      <c r="H9" s="8">
        <v>297</v>
      </c>
      <c r="I9" s="8">
        <v>420</v>
      </c>
      <c r="J9" s="11">
        <v>0.09</v>
      </c>
      <c r="K9" s="10" t="str">
        <f>IF(tblPapers[[#This Row],[Measure]]="","",IF(tblPapers[[#This Row],[Measure]]="Sheet","£ per sheet","£ per metre"))</f>
        <v>£ per sheet</v>
      </c>
      <c r="L9" t="s">
        <v>44</v>
      </c>
    </row>
    <row r="10" spans="1:14" x14ac:dyDescent="0.35">
      <c r="A10" s="5" t="s">
        <v>123</v>
      </c>
      <c r="B10" t="s">
        <v>124</v>
      </c>
      <c r="C10" t="s">
        <v>48</v>
      </c>
      <c r="D10" t="s">
        <v>55</v>
      </c>
      <c r="E10" s="10" t="str">
        <f>IF(tblPapers[[#This Row],[Family]]="","",IFERROR(INDEX(tblPaperFamilies[Measurement basis],MATCH(tblPapers[[#This Row],[Family]],tblPaperFamilies[Family],0)),"?"))</f>
        <v>Roll</v>
      </c>
      <c r="F10" t="s">
        <v>56</v>
      </c>
      <c r="H10" s="8">
        <v>610</v>
      </c>
      <c r="I10" s="8"/>
      <c r="J10" s="11">
        <v>3.1</v>
      </c>
      <c r="K10" s="10" t="str">
        <f>IF(tblPapers[[#This Row],[Measure]]="","",IF(tblPapers[[#This Row],[Measure]]="Sheet","£ per sheet","£ per metre"))</f>
        <v>£ per metre</v>
      </c>
      <c r="L10" t="s">
        <v>44</v>
      </c>
    </row>
    <row r="11" spans="1:14" x14ac:dyDescent="0.35">
      <c r="A11" s="5" t="s">
        <v>125</v>
      </c>
      <c r="B11" t="s">
        <v>126</v>
      </c>
      <c r="C11" t="s">
        <v>47</v>
      </c>
      <c r="D11" t="s">
        <v>58</v>
      </c>
      <c r="E11" s="10" t="str">
        <f>IF(tblPapers[[#This Row],[Family]]="","",IFERROR(INDEX(tblPaperFamilies[Measurement basis],MATCH(tblPapers[[#This Row],[Family]],tblPaperFamilies[Family],0)),"?"))</f>
        <v>Roll</v>
      </c>
      <c r="F11" t="s">
        <v>56</v>
      </c>
      <c r="H11" s="8">
        <v>914</v>
      </c>
      <c r="I11" s="8"/>
      <c r="J11" s="11">
        <v>8.75</v>
      </c>
      <c r="K11" s="10" t="str">
        <f>IF(tblPapers[[#This Row],[Measure]]="","",IF(tblPapers[[#This Row],[Measure]]="Sheet","£ per sheet","£ per metre"))</f>
        <v>£ per metre</v>
      </c>
      <c r="L11" t="s">
        <v>44</v>
      </c>
    </row>
    <row r="12" spans="1:14" x14ac:dyDescent="0.35">
      <c r="A12" s="5" t="s">
        <v>127</v>
      </c>
      <c r="B12" t="s">
        <v>128</v>
      </c>
      <c r="C12" t="s">
        <v>43</v>
      </c>
      <c r="D12" t="s">
        <v>58</v>
      </c>
      <c r="E12" s="10" t="str">
        <f>IF(tblPapers[[#This Row],[Family]]="","",IFERROR(INDEX(tblPaperFamilies[Measurement basis],MATCH(tblPapers[[#This Row],[Family]],tblPaperFamilies[Family],0)),"?"))</f>
        <v>Roll</v>
      </c>
      <c r="F12" t="s">
        <v>56</v>
      </c>
      <c r="H12" s="8">
        <v>1370</v>
      </c>
      <c r="I12" s="8"/>
      <c r="J12" s="11">
        <v>11.4</v>
      </c>
      <c r="K12" s="10" t="str">
        <f>IF(tblPapers[[#This Row],[Measure]]="","",IF(tblPapers[[#This Row],[Measure]]="Sheet","£ per sheet","£ per metre"))</f>
        <v>£ per metre</v>
      </c>
      <c r="L12" t="s">
        <v>44</v>
      </c>
    </row>
    <row r="13" spans="1:14" x14ac:dyDescent="0.35">
      <c r="A13" s="5" t="s">
        <v>129</v>
      </c>
      <c r="B13" t="s">
        <v>130</v>
      </c>
      <c r="C13" t="s">
        <v>46</v>
      </c>
      <c r="D13" t="s">
        <v>58</v>
      </c>
      <c r="E13" s="10" t="str">
        <f>IF(tblPapers[[#This Row],[Family]]="","",IFERROR(INDEX(tblPaperFamilies[Measurement basis],MATCH(tblPapers[[#This Row],[Family]],tblPaperFamilies[Family],0)),"?"))</f>
        <v>Roll</v>
      </c>
      <c r="F13" t="s">
        <v>56</v>
      </c>
      <c r="H13" s="8">
        <v>1067</v>
      </c>
      <c r="I13" s="8"/>
      <c r="J13" s="11">
        <v>5.6</v>
      </c>
      <c r="K13" s="10" t="str">
        <f>IF(tblPapers[[#This Row],[Measure]]="","",IF(tblPapers[[#This Row],[Measure]]="Sheet","£ per sheet","£ per metre"))</f>
        <v>£ per metre</v>
      </c>
      <c r="L13" t="s">
        <v>44</v>
      </c>
    </row>
    <row r="14" spans="1:14" x14ac:dyDescent="0.35">
      <c r="A14" s="5" t="s">
        <v>131</v>
      </c>
      <c r="B14" t="s">
        <v>132</v>
      </c>
      <c r="C14" t="s">
        <v>45</v>
      </c>
      <c r="D14" t="s">
        <v>53</v>
      </c>
      <c r="E14" s="10" t="str">
        <f>IF(tblPapers[[#This Row],[Family]]="","",IFERROR(INDEX(tblPaperFamilies[Measurement basis],MATCH(tblPapers[[#This Row],[Family]],tblPaperFamilies[Family],0)),"?"))</f>
        <v>Sheet</v>
      </c>
      <c r="F14" t="s">
        <v>133</v>
      </c>
      <c r="H14" s="8">
        <v>320</v>
      </c>
      <c r="I14" s="8">
        <v>450</v>
      </c>
      <c r="J14" s="11">
        <v>0.18</v>
      </c>
      <c r="K14" s="10" t="str">
        <f>IF(tblPapers[[#This Row],[Measure]]="","",IF(tblPapers[[#This Row],[Measure]]="Sheet","£ per sheet","£ per metre"))</f>
        <v>£ per sheet</v>
      </c>
      <c r="L14" t="s">
        <v>44</v>
      </c>
    </row>
  </sheetData>
  <dataValidations count="8">
    <dataValidation type="list" allowBlank="1" showInputMessage="1" showErrorMessage="1" sqref="C6:C2000" xr:uid="{00000000-0002-0000-0300-000000000000}">
      <formula1>lstPaperTypes</formula1>
    </dataValidation>
    <dataValidation type="list" allowBlank="1" showInputMessage="1" showErrorMessage="1" errorTitle="Paper family" error="The family decides whether this stock is measured in sheets or metres, and which printers can use it." promptTitle="Paper family" prompt="The family decides whether this stock is measured in sheets or metres, and which printers can use it." sqref="D6:D2000" xr:uid="{00000000-0002-0000-0300-000001000000}">
      <formula1>lstFamilies</formula1>
    </dataValidation>
    <dataValidation type="list" allowBlank="1" showInputMessage="1" showErrorMessage="1" errorTitle="Size mode" error="Standard fills the size from the standard sizes list. Custom sheet takes width and height directly. Roll takes the roll width only." promptTitle="Size mode" prompt="Standard fills the size from the standard sizes list. Custom sheet takes width and height directly. Roll takes the roll width only." sqref="F6:F2000" xr:uid="{00000000-0002-0000-0300-000002000000}">
      <formula1>"Standard,Custom sheet,Roll"</formula1>
    </dataValidation>
    <dataValidation type="list" allowBlank="1" showInputMessage="1" showErrorMessage="1" sqref="G6:G2000" xr:uid="{00000000-0002-0000-0300-000003000000}">
      <formula1>lstStandardSizes</formula1>
    </dataValidation>
    <dataValidation type="decimal" operator="greaterThan" allowBlank="1" showInputMessage="1" showErrorMessage="1" errorTitle="Dimension" error="Enter the size in millimetres. For roll stock, enter the roll width only." promptTitle="Dimension" prompt="Enter the size in millimetres. For roll stock, enter the roll width only." sqref="H6:H2000" xr:uid="{00000000-0002-0000-0300-000004000000}">
      <formula1>0</formula1>
    </dataValidation>
    <dataValidation type="decimal" operator="greaterThan" allowBlank="1" showInputMessage="1" showErrorMessage="1" errorTitle="Dimension" error="Enter the size in millimetres." promptTitle="Dimension" prompt="Enter the size in millimetres." sqref="I6:I2000" xr:uid="{00000000-0002-0000-0300-000005000000}">
      <formula1>0</formula1>
    </dataValidation>
    <dataValidation type="decimal" operator="greaterThan" allowBlank="1" showInputMessage="1" showErrorMessage="1" errorTitle="Cost" error="Cost per sheet for sheet stock, or cost per metre for roll stock. The Cost unit column shows which applies." promptTitle="Cost" prompt="Cost per sheet for sheet stock, or cost per metre for roll stock. The Cost unit column shows which applies." sqref="J6:J2000" xr:uid="{00000000-0002-0000-0300-000006000000}">
      <formula1>0</formula1>
    </dataValidation>
    <dataValidation type="list" allowBlank="1" showInputMessage="1" showErrorMessage="1" sqref="L6:L2000" xr:uid="{00000000-0002-0000-0300-000007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4.5" x14ac:dyDescent="0.35"/>
  <sheetData>
    <row r="1" spans="1:8" ht="29" x14ac:dyDescent="0.35">
      <c r="A1" s="4" t="s">
        <v>135</v>
      </c>
      <c r="B1" s="4" t="s">
        <v>136</v>
      </c>
      <c r="C1" s="4" t="s">
        <v>81</v>
      </c>
      <c r="D1" s="4" t="s">
        <v>19</v>
      </c>
      <c r="E1" s="4" t="s">
        <v>137</v>
      </c>
      <c r="F1" s="4" t="s">
        <v>138</v>
      </c>
      <c r="G1" s="4" t="s">
        <v>139</v>
      </c>
      <c r="H1" s="4" t="s">
        <v>140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4.5" x14ac:dyDescent="0.35"/>
  <sheetData>
    <row r="1" spans="1:5" x14ac:dyDescent="0.35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workbookViewId="0"/>
  </sheetViews>
  <sheetFormatPr defaultRowHeight="14.5" x14ac:dyDescent="0.35"/>
  <cols>
    <col min="1" max="1" width="12.7265625" customWidth="1"/>
    <col min="2" max="2" width="44.7265625" customWidth="1"/>
  </cols>
  <sheetData>
    <row r="1" spans="1:1" ht="21" x14ac:dyDescent="0.35">
      <c r="A1" s="1" t="s">
        <v>146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7"/>
  <sheetViews>
    <sheetView showGridLines="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A7" sqref="A3:XFD7"/>
    </sheetView>
  </sheetViews>
  <sheetFormatPr defaultRowHeight="14.5" outlineLevelCol="1" x14ac:dyDescent="0.35"/>
  <cols>
    <col min="1" max="1" width="30.7265625" customWidth="1"/>
    <col min="2" max="2" width="16.7265625" customWidth="1"/>
    <col min="3" max="3" width="17.7265625" customWidth="1"/>
    <col min="4" max="4" width="22.7265625" customWidth="1"/>
    <col min="5" max="5" width="13.7265625" customWidth="1"/>
    <col min="6" max="6" width="18.7265625" customWidth="1"/>
    <col min="7" max="7" width="24.7265625" customWidth="1"/>
    <col min="8" max="8" width="30.7265625" customWidth="1"/>
    <col min="9" max="9" width="9.7265625" customWidth="1"/>
    <col min="10" max="10" width="10.7265625" customWidth="1"/>
    <col min="11" max="11" width="13.7265625" customWidth="1"/>
    <col min="12" max="12" width="15.7265625" customWidth="1"/>
    <col min="13" max="13" width="19.7265625" customWidth="1"/>
    <col min="14" max="14" width="11.7265625" customWidth="1"/>
    <col min="15" max="15" width="12.7265625" customWidth="1"/>
    <col min="16" max="16" width="15.7265625" customWidth="1"/>
    <col min="17" max="18" width="12.7265625" customWidth="1"/>
    <col min="19" max="19" width="15.7265625" customWidth="1"/>
    <col min="20" max="20" width="34.7265625" customWidth="1"/>
    <col min="21" max="21" width="40.7265625" hidden="1" customWidth="1" outlineLevel="1"/>
    <col min="22" max="24" width="11.7265625" hidden="1" customWidth="1" outlineLevel="1"/>
    <col min="25" max="25" width="13.7265625" hidden="1" customWidth="1" outlineLevel="1"/>
    <col min="26" max="26" width="10.7265625" hidden="1" customWidth="1" outlineLevel="1"/>
    <col min="27" max="27" width="12.7265625" hidden="1" customWidth="1" outlineLevel="1"/>
    <col min="28" max="28" width="13.7265625" hidden="1" customWidth="1" outlineLevel="1"/>
    <col min="29" max="29" width="14.7265625" hidden="1" customWidth="1" outlineLevel="1"/>
    <col min="30" max="30" width="12.7265625" hidden="1" customWidth="1" outlineLevel="1"/>
    <col min="31" max="31" width="16.7265625" hidden="1" customWidth="1" outlineLevel="1"/>
    <col min="32" max="32" width="14.7265625" hidden="1" customWidth="1" outlineLevel="1"/>
    <col min="33" max="33" width="11.7265625" hidden="1" customWidth="1" outlineLevel="1"/>
    <col min="34" max="34" width="8.7265625" collapsed="1"/>
    <col min="52" max="52" width="0" hidden="1" customWidth="1"/>
  </cols>
  <sheetData>
    <row r="1" spans="1:52" ht="21" x14ac:dyDescent="0.35">
      <c r="A1" s="6" t="s">
        <v>147</v>
      </c>
      <c r="B1" s="1" t="s">
        <v>148</v>
      </c>
      <c r="D1" s="3" t="s">
        <v>158</v>
      </c>
      <c r="AL1" s="19" t="s">
        <v>219</v>
      </c>
      <c r="AZ1" t="s">
        <v>157</v>
      </c>
    </row>
    <row r="2" spans="1:52" x14ac:dyDescent="0.35">
      <c r="A2" s="6" t="s">
        <v>19</v>
      </c>
      <c r="B2" s="7" t="s">
        <v>20</v>
      </c>
      <c r="D2" s="2" t="s">
        <v>159</v>
      </c>
      <c r="AL2" s="19" t="s">
        <v>149</v>
      </c>
      <c r="AM2" t="s">
        <v>150</v>
      </c>
    </row>
    <row r="3" spans="1:52" x14ac:dyDescent="0.35">
      <c r="A3" s="21"/>
      <c r="B3" s="5"/>
      <c r="D3" s="2"/>
      <c r="AL3" s="19" t="s">
        <v>151</v>
      </c>
      <c r="AM3" t="s">
        <v>152</v>
      </c>
    </row>
    <row r="4" spans="1:52" x14ac:dyDescent="0.35">
      <c r="A4" s="21"/>
      <c r="B4" s="7"/>
      <c r="AL4" s="19" t="s">
        <v>153</v>
      </c>
      <c r="AM4" t="s">
        <v>152</v>
      </c>
    </row>
    <row r="5" spans="1:52" x14ac:dyDescent="0.35">
      <c r="A5" s="21"/>
      <c r="B5" s="7"/>
      <c r="AL5" s="19" t="s">
        <v>155</v>
      </c>
      <c r="AM5" t="s">
        <v>156</v>
      </c>
    </row>
    <row r="6" spans="1:52" x14ac:dyDescent="0.35">
      <c r="A6" s="21"/>
      <c r="B6" s="5"/>
      <c r="AL6" s="20"/>
    </row>
    <row r="7" spans="1:52" x14ac:dyDescent="0.35">
      <c r="A7" s="21"/>
      <c r="B7" s="5"/>
      <c r="AL7" s="19" t="s">
        <v>221</v>
      </c>
      <c r="AM7" t="s">
        <v>154</v>
      </c>
    </row>
    <row r="8" spans="1:52" x14ac:dyDescent="0.35">
      <c r="AL8" s="20" t="s">
        <v>220</v>
      </c>
    </row>
    <row r="10" spans="1:52" x14ac:dyDescent="0.35">
      <c r="A10" s="5" t="s">
        <v>160</v>
      </c>
      <c r="C10" s="5" t="s">
        <v>161</v>
      </c>
      <c r="E10" s="5" t="s">
        <v>162</v>
      </c>
      <c r="G10" s="5" t="s">
        <v>163</v>
      </c>
      <c r="I10" s="5" t="s">
        <v>164</v>
      </c>
      <c r="K10" s="5" t="s">
        <v>165</v>
      </c>
      <c r="M10" s="2" t="s">
        <v>166</v>
      </c>
    </row>
    <row r="12" spans="1:52" ht="29" x14ac:dyDescent="0.35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4" t="s">
        <v>182</v>
      </c>
      <c r="Q12" s="4" t="s">
        <v>183</v>
      </c>
      <c r="R12" s="4" t="s">
        <v>184</v>
      </c>
      <c r="S12" s="4" t="s">
        <v>185</v>
      </c>
      <c r="T12" s="4" t="s">
        <v>6</v>
      </c>
      <c r="U12" s="4" t="s">
        <v>186</v>
      </c>
      <c r="V12" s="4" t="s">
        <v>187</v>
      </c>
      <c r="W12" s="4" t="s">
        <v>188</v>
      </c>
      <c r="X12" s="4" t="s">
        <v>189</v>
      </c>
      <c r="Y12" s="4" t="s">
        <v>190</v>
      </c>
      <c r="Z12" s="4" t="s">
        <v>191</v>
      </c>
      <c r="AA12" s="4" t="s">
        <v>192</v>
      </c>
      <c r="AB12" s="4" t="s">
        <v>193</v>
      </c>
      <c r="AC12" s="4" t="s">
        <v>194</v>
      </c>
      <c r="AD12" s="4" t="s">
        <v>195</v>
      </c>
      <c r="AE12" s="4" t="s">
        <v>196</v>
      </c>
      <c r="AF12" s="4" t="s">
        <v>197</v>
      </c>
      <c r="AG12" s="4" t="s">
        <v>198</v>
      </c>
    </row>
    <row r="13" spans="1:52" x14ac:dyDescent="0.35">
      <c r="A13" s="10" t="str">
        <f>IF(tblJobs_MAIN[[#This Row],[Job ID]]="","",IF(tblJobs_MAIN[[#This Row],[H_Issues]]="","OK",MID(tblJobs_MAIN[[#This Row],[H_Issues]],3,255)))</f>
        <v>OK</v>
      </c>
      <c r="B13" s="5" t="s">
        <v>199</v>
      </c>
      <c r="C13" s="12">
        <v>46280.425000000003</v>
      </c>
      <c r="D13" s="13" t="s">
        <v>200</v>
      </c>
      <c r="E13" s="13" t="s">
        <v>201</v>
      </c>
      <c r="F13" s="13" t="s">
        <v>83</v>
      </c>
      <c r="G13" s="13" t="s">
        <v>101</v>
      </c>
      <c r="H13" s="13" t="s">
        <v>120</v>
      </c>
      <c r="I13" s="10" t="str">
        <f>IF(tblJobs_MAIN[[#This Row],[S_Measure]]="","",IF(tblJobs_MAIN[[#This Row],[S_Measure]]="Sheet","sheets","metres"))</f>
        <v>sheets</v>
      </c>
      <c r="J13" s="14">
        <v>100</v>
      </c>
      <c r="K13" s="8"/>
      <c r="L13" s="13" t="s">
        <v>152</v>
      </c>
      <c r="M13" s="13" t="s">
        <v>152</v>
      </c>
      <c r="N13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14.400000000000002</v>
      </c>
      <c r="O13" s="16">
        <f>IF(tblJobs_MAIN[[#This Row],[Quantity]]="","",ROUND(tblJobs_MAIN[[#This Row],[Quantity]]*tblJobs_MAIN[[#This Row],[S_UnitCost]],SET_ROUND_DP))</f>
        <v>31</v>
      </c>
      <c r="P13" s="16">
        <f>IF(tblJobs_MAIN[[#This Row],[Area m2]]="","",ROUND(tblJobs_MAIN[[#This Row],[Area m2]]*tblJobs_MAIN[[#This Row],[S_ConsRate]],SET_ROUND_DP))</f>
        <v>13.68</v>
      </c>
      <c r="Q13" s="16">
        <f>IF(tblJobs_MAIN[[#This Row],[Paper Cost]]="","",tblJobs_MAIN[[#This Row],[Paper Cost]]+tblJobs_MAIN[[#This Row],[Consumable Cost]])</f>
        <v>44.68</v>
      </c>
      <c r="R13" s="16">
        <f>IF(tblJobs_MAIN[[#This Row],[Gross Cost]]="","",tblJobs_MAIN[[#This Row],[Gross Cost]]-tblJobs_MAIN[[#This Row],[Chargeable Cost]])</f>
        <v>0</v>
      </c>
      <c r="S13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44.68</v>
      </c>
      <c r="T13" s="13" t="s">
        <v>202</v>
      </c>
      <c r="U13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/>
      </c>
      <c r="V13" s="17" t="s">
        <v>100</v>
      </c>
      <c r="W13" s="17" t="s">
        <v>119</v>
      </c>
      <c r="X13" s="17" t="s">
        <v>82</v>
      </c>
      <c r="Y13" s="17" t="s">
        <v>53</v>
      </c>
      <c r="Z13" s="17" t="s">
        <v>53</v>
      </c>
      <c r="AA13" s="18">
        <v>0.31</v>
      </c>
      <c r="AB13" s="17">
        <v>320</v>
      </c>
      <c r="AC13" s="17">
        <v>450</v>
      </c>
      <c r="AD13" s="18">
        <v>0.95</v>
      </c>
      <c r="AE13" s="17">
        <v>46282.375</v>
      </c>
      <c r="AF13" s="17" t="s">
        <v>203</v>
      </c>
      <c r="AG13" s="17" t="s">
        <v>35</v>
      </c>
    </row>
    <row r="14" spans="1:52" x14ac:dyDescent="0.35">
      <c r="A14" s="10" t="str">
        <f>IF(tblJobs_MAIN[[#This Row],[Job ID]]="","",IF(tblJobs_MAIN[[#This Row],[H_Issues]]="","OK",MID(tblJobs_MAIN[[#This Row],[H_Issues]],3,255)))</f>
        <v>OK</v>
      </c>
      <c r="B14" s="5" t="s">
        <v>204</v>
      </c>
      <c r="C14" s="12">
        <v>46280.611111111109</v>
      </c>
      <c r="D14" s="13" t="s">
        <v>200</v>
      </c>
      <c r="E14" s="13" t="s">
        <v>201</v>
      </c>
      <c r="F14" s="13" t="s">
        <v>85</v>
      </c>
      <c r="G14" s="13" t="s">
        <v>96</v>
      </c>
      <c r="H14" s="13" t="s">
        <v>126</v>
      </c>
      <c r="I14" s="10" t="str">
        <f>IF(tblJobs_MAIN[[#This Row],[S_Measure]]="","",IF(tblJobs_MAIN[[#This Row],[S_Measure]]="Sheet","sheets","metres"))</f>
        <v>metres</v>
      </c>
      <c r="J14" s="14">
        <v>12</v>
      </c>
      <c r="K14" s="8"/>
      <c r="L14" s="13" t="s">
        <v>152</v>
      </c>
      <c r="M14" s="13" t="s">
        <v>152</v>
      </c>
      <c r="N14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10.968</v>
      </c>
      <c r="O14" s="16">
        <f>IF(tblJobs_MAIN[[#This Row],[Quantity]]="","",ROUND(tblJobs_MAIN[[#This Row],[Quantity]]*tblJobs_MAIN[[#This Row],[S_UnitCost]],SET_ROUND_DP))</f>
        <v>105</v>
      </c>
      <c r="P14" s="16">
        <f>IF(tblJobs_MAIN[[#This Row],[Area m2]]="","",ROUND(tblJobs_MAIN[[#This Row],[Area m2]]*tblJobs_MAIN[[#This Row],[S_ConsRate]],SET_ROUND_DP))</f>
        <v>31.26</v>
      </c>
      <c r="Q14" s="16">
        <f>IF(tblJobs_MAIN[[#This Row],[Paper Cost]]="","",tblJobs_MAIN[[#This Row],[Paper Cost]]+tblJobs_MAIN[[#This Row],[Consumable Cost]])</f>
        <v>136.26</v>
      </c>
      <c r="R14" s="16">
        <f>IF(tblJobs_MAIN[[#This Row],[Gross Cost]]="","",tblJobs_MAIN[[#This Row],[Gross Cost]]-tblJobs_MAIN[[#This Row],[Chargeable Cost]])</f>
        <v>0</v>
      </c>
      <c r="S14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136.26</v>
      </c>
      <c r="T14" s="13" t="s">
        <v>205</v>
      </c>
      <c r="U14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/>
      </c>
      <c r="V14" s="17" t="s">
        <v>95</v>
      </c>
      <c r="W14" s="17" t="s">
        <v>125</v>
      </c>
      <c r="X14" s="17" t="s">
        <v>84</v>
      </c>
      <c r="Y14" s="17" t="s">
        <v>58</v>
      </c>
      <c r="Z14" s="17" t="s">
        <v>56</v>
      </c>
      <c r="AA14" s="18">
        <v>8.75</v>
      </c>
      <c r="AB14" s="17">
        <v>914</v>
      </c>
      <c r="AC14" s="17"/>
      <c r="AD14" s="18">
        <v>2.85</v>
      </c>
      <c r="AE14" s="17">
        <v>46282.375</v>
      </c>
      <c r="AF14" s="17" t="s">
        <v>203</v>
      </c>
      <c r="AG14" s="17" t="s">
        <v>35</v>
      </c>
    </row>
    <row r="15" spans="1:52" x14ac:dyDescent="0.35">
      <c r="A15" s="10" t="str">
        <f>IF(tblJobs_MAIN[[#This Row],[Job ID]]="","",IF(tblJobs_MAIN[[#This Row],[H_Issues]]="","OK",MID(tblJobs_MAIN[[#This Row],[H_Issues]],3,255)))</f>
        <v>OK</v>
      </c>
      <c r="B15" s="5" t="s">
        <v>206</v>
      </c>
      <c r="C15" s="12">
        <v>46281.461805555547</v>
      </c>
      <c r="D15" s="13" t="s">
        <v>207</v>
      </c>
      <c r="E15" s="13" t="s">
        <v>208</v>
      </c>
      <c r="F15" s="13" t="s">
        <v>85</v>
      </c>
      <c r="G15" s="13" t="s">
        <v>96</v>
      </c>
      <c r="H15" s="13" t="s">
        <v>126</v>
      </c>
      <c r="I15" s="10" t="str">
        <f>IF(tblJobs_MAIN[[#This Row],[S_Measure]]="","",IF(tblJobs_MAIN[[#This Row],[S_Measure]]="Sheet","sheets","metres"))</f>
        <v>metres</v>
      </c>
      <c r="J15" s="14">
        <v>12</v>
      </c>
      <c r="K15" s="8">
        <v>600</v>
      </c>
      <c r="L15" s="13" t="s">
        <v>152</v>
      </c>
      <c r="M15" s="13" t="s">
        <v>152</v>
      </c>
      <c r="N15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7.1999999999999993</v>
      </c>
      <c r="O15" s="16">
        <f>IF(tblJobs_MAIN[[#This Row],[Quantity]]="","",ROUND(tblJobs_MAIN[[#This Row],[Quantity]]*tblJobs_MAIN[[#This Row],[S_UnitCost]],SET_ROUND_DP))</f>
        <v>105</v>
      </c>
      <c r="P15" s="16">
        <f>IF(tblJobs_MAIN[[#This Row],[Area m2]]="","",ROUND(tblJobs_MAIN[[#This Row],[Area m2]]*tblJobs_MAIN[[#This Row],[S_ConsRate]],SET_ROUND_DP))</f>
        <v>20.52</v>
      </c>
      <c r="Q15" s="16">
        <f>IF(tblJobs_MAIN[[#This Row],[Paper Cost]]="","",tblJobs_MAIN[[#This Row],[Paper Cost]]+tblJobs_MAIN[[#This Row],[Consumable Cost]])</f>
        <v>125.52</v>
      </c>
      <c r="R15" s="16">
        <f>IF(tblJobs_MAIN[[#This Row],[Gross Cost]]="","",tblJobs_MAIN[[#This Row],[Gross Cost]]-tblJobs_MAIN[[#This Row],[Chargeable Cost]])</f>
        <v>0</v>
      </c>
      <c r="S15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125.52</v>
      </c>
      <c r="T15" s="13" t="s">
        <v>209</v>
      </c>
      <c r="U15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/>
      </c>
      <c r="V15" s="17" t="s">
        <v>95</v>
      </c>
      <c r="W15" s="17" t="s">
        <v>125</v>
      </c>
      <c r="X15" s="17" t="s">
        <v>84</v>
      </c>
      <c r="Y15" s="17" t="s">
        <v>58</v>
      </c>
      <c r="Z15" s="17" t="s">
        <v>56</v>
      </c>
      <c r="AA15" s="18">
        <v>8.75</v>
      </c>
      <c r="AB15" s="17">
        <v>914</v>
      </c>
      <c r="AC15" s="17"/>
      <c r="AD15" s="18">
        <v>2.85</v>
      </c>
      <c r="AE15" s="17">
        <v>46282.375</v>
      </c>
      <c r="AF15" s="17" t="s">
        <v>203</v>
      </c>
      <c r="AG15" s="17" t="s">
        <v>35</v>
      </c>
    </row>
    <row r="16" spans="1:52" x14ac:dyDescent="0.35">
      <c r="A16" s="10" t="str">
        <f>IF(tblJobs_MAIN[[#This Row],[Job ID]]="","",IF(tblJobs_MAIN[[#This Row],[H_Issues]]="","OK",MID(tblJobs_MAIN[[#This Row],[H_Issues]],3,255)))</f>
        <v>OK</v>
      </c>
      <c r="B16" s="5" t="s">
        <v>210</v>
      </c>
      <c r="C16" s="12">
        <v>46281.638888888891</v>
      </c>
      <c r="D16" s="13" t="s">
        <v>207</v>
      </c>
      <c r="E16" s="13" t="s">
        <v>208</v>
      </c>
      <c r="F16" s="13" t="s">
        <v>83</v>
      </c>
      <c r="G16" s="13" t="s">
        <v>96</v>
      </c>
      <c r="H16" s="13" t="s">
        <v>124</v>
      </c>
      <c r="I16" s="10" t="str">
        <f>IF(tblJobs_MAIN[[#This Row],[S_Measure]]="","",IF(tblJobs_MAIN[[#This Row],[S_Measure]]="Sheet","sheets","metres"))</f>
        <v>metres</v>
      </c>
      <c r="J16" s="14">
        <v>5</v>
      </c>
      <c r="K16" s="8"/>
      <c r="L16" s="13" t="s">
        <v>44</v>
      </c>
      <c r="M16" s="13" t="s">
        <v>152</v>
      </c>
      <c r="N16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3.05</v>
      </c>
      <c r="O16" s="16">
        <f>IF(tblJobs_MAIN[[#This Row],[Quantity]]="","",ROUND(tblJobs_MAIN[[#This Row],[Quantity]]*tblJobs_MAIN[[#This Row],[S_UnitCost]],SET_ROUND_DP))</f>
        <v>15.5</v>
      </c>
      <c r="P16" s="16">
        <f>IF(tblJobs_MAIN[[#This Row],[Area m2]]="","",ROUND(tblJobs_MAIN[[#This Row],[Area m2]]*tblJobs_MAIN[[#This Row],[S_ConsRate]],SET_ROUND_DP))</f>
        <v>8.69</v>
      </c>
      <c r="Q16" s="16">
        <f>IF(tblJobs_MAIN[[#This Row],[Paper Cost]]="","",tblJobs_MAIN[[#This Row],[Paper Cost]]+tblJobs_MAIN[[#This Row],[Consumable Cost]])</f>
        <v>24.189999999999998</v>
      </c>
      <c r="R16" s="16">
        <f>IF(tblJobs_MAIN[[#This Row],[Gross Cost]]="","",tblJobs_MAIN[[#This Row],[Gross Cost]]-tblJobs_MAIN[[#This Row],[Chargeable Cost]])</f>
        <v>15.499999999999998</v>
      </c>
      <c r="S16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8.69</v>
      </c>
      <c r="T16" s="13" t="s">
        <v>211</v>
      </c>
      <c r="U16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/>
      </c>
      <c r="V16" s="17" t="s">
        <v>95</v>
      </c>
      <c r="W16" s="17" t="s">
        <v>123</v>
      </c>
      <c r="X16" s="17" t="s">
        <v>82</v>
      </c>
      <c r="Y16" s="17" t="s">
        <v>55</v>
      </c>
      <c r="Z16" s="17" t="s">
        <v>56</v>
      </c>
      <c r="AA16" s="18">
        <v>3.1</v>
      </c>
      <c r="AB16" s="17">
        <v>610</v>
      </c>
      <c r="AC16" s="17"/>
      <c r="AD16" s="18">
        <v>2.85</v>
      </c>
      <c r="AE16" s="17">
        <v>46282.375</v>
      </c>
      <c r="AF16" s="17" t="s">
        <v>203</v>
      </c>
      <c r="AG16" s="17" t="s">
        <v>35</v>
      </c>
    </row>
    <row r="17" spans="1:33" x14ac:dyDescent="0.35">
      <c r="A17" s="10" t="str">
        <f>IF(tblJobs_MAIN[[#This Row],[Job ID]]="","",IF(tblJobs_MAIN[[#This Row],[H_Issues]]="","OK",MID(tblJobs_MAIN[[#This Row],[H_Issues]],3,255)))</f>
        <v>Student name or number required; Print width exceeds stock width</v>
      </c>
      <c r="B17" s="5" t="s">
        <v>212</v>
      </c>
      <c r="C17" s="12">
        <v>46282.395833333343</v>
      </c>
      <c r="D17" s="13"/>
      <c r="E17" s="13"/>
      <c r="F17" s="13" t="s">
        <v>83</v>
      </c>
      <c r="G17" s="13" t="s">
        <v>96</v>
      </c>
      <c r="H17" s="13" t="s">
        <v>126</v>
      </c>
      <c r="I17" s="10" t="str">
        <f>IF(tblJobs_MAIN[[#This Row],[S_Measure]]="","",IF(tblJobs_MAIN[[#This Row],[S_Measure]]="Sheet","sheets","metres"))</f>
        <v>metres</v>
      </c>
      <c r="J17" s="14">
        <v>12</v>
      </c>
      <c r="K17" s="8">
        <v>1200</v>
      </c>
      <c r="L17" s="13" t="s">
        <v>152</v>
      </c>
      <c r="M17" s="13" t="s">
        <v>152</v>
      </c>
      <c r="N17" s="15">
        <f>IF(tblJobs_MAIN[[#This Row],[Quantity]]="","",IF(tblJobs_MAIN[[#This Row],[S_Measure]]="Sheet",(tblJobs_MAIN[[#This Row],[S_StockWidth_mm]]/1000)*(tblJobs_MAIN[[#This Row],[S_SheetHeight_mm]]/1000)*tblJobs_MAIN[[#This Row],[Quantity]],(IF(tblJobs_MAIN[[#This Row],[Print Width mm]]="",tblJobs_MAIN[[#This Row],[S_StockWidth_mm]],tblJobs_MAIN[[#This Row],[Print Width mm]])/1000)*tblJobs_MAIN[[#This Row],[Quantity]]))</f>
        <v>14.399999999999999</v>
      </c>
      <c r="O17" s="16">
        <f>IF(tblJobs_MAIN[[#This Row],[Quantity]]="","",ROUND(tblJobs_MAIN[[#This Row],[Quantity]]*tblJobs_MAIN[[#This Row],[S_UnitCost]],SET_ROUND_DP))</f>
        <v>105</v>
      </c>
      <c r="P17" s="16">
        <f>IF(tblJobs_MAIN[[#This Row],[Area m2]]="","",ROUND(tblJobs_MAIN[[#This Row],[Area m2]]*tblJobs_MAIN[[#This Row],[S_ConsRate]],SET_ROUND_DP))</f>
        <v>41.04</v>
      </c>
      <c r="Q17" s="16">
        <f>IF(tblJobs_MAIN[[#This Row],[Paper Cost]]="","",tblJobs_MAIN[[#This Row],[Paper Cost]]+tblJobs_MAIN[[#This Row],[Consumable Cost]])</f>
        <v>146.04</v>
      </c>
      <c r="R17" s="16">
        <f>IF(tblJobs_MAIN[[#This Row],[Gross Cost]]="","",tblJobs_MAIN[[#This Row],[Gross Cost]]-tblJobs_MAIN[[#This Row],[Chargeable Cost]])</f>
        <v>0</v>
      </c>
      <c r="S17" s="16">
        <f>IF(tblJobs_MAIN[[#This Row],[Paper Cost]]="","",IF(tblJobs_MAIN[[#This Row],[Disregard Paper]]="Yes",0,tblJobs_MAIN[[#This Row],[Paper Cost]])+IF(tblJobs_MAIN[[#This Row],[Disregard Consumable]]="Yes",0,tblJobs_MAIN[[#This Row],[Consumable Cost]]))</f>
        <v>146.04</v>
      </c>
      <c r="T17" s="13" t="s">
        <v>213</v>
      </c>
      <c r="U17" s="17" t="str">
        <f>IF(tblJobs_MAIN[[#This Row],[Job ID]]="","",IF(tblJobs_MAIN[[#This Row],[Date/Time]]="","; Date and time required","")&amp;IF(AND(tblJobs_MAIN[[#This Row],[Student Name]]="",tblJobs_MAIN[[#This Row],[Student No]]=""),"; Student name or number required","")&amp;IF(tblJobs_MAIN[[#This Row],[Technician]]="","; Technician required","")&amp;IF(tblJobs_MAIN[[#This Row],[Printer]]="","; Printer required","")&amp;IF(tblJobs_MAIN[[#This Row],[Paper Stock]]="","; Paper stock required","")&amp;IF(tblJobs_MAIN[[#This Row],[Quantity]]="","; Quantity required",IF(tblJobs_MAIN[[#This Row],[Quantity]]&lt;=0,"; Quantity must be greater than zero",""))&amp;IF(AND(tblJobs_MAIN[[#This Row],[S_Measure]]="Sheet",tblJobs_MAIN[[#This Row],[Quantity]]&lt;&gt;"",tblJobs_MAIN[[#This Row],[Quantity]]&lt;&gt;INT(tblJobs_MAIN[[#This Row],[Quantity]])),"; Sheet quantity must be a whole number","")&amp;IF(AND(tblJobs_MAIN[[#This Row],[S_Measure]]="Sheet",tblJobs_MAIN[[#This Row],[Print Width mm]]&lt;&gt;""),"; Print width does not apply to sheet stock","")&amp;IF(AND(tblJobs_MAIN[[#This Row],[Print Width mm]]&lt;&gt;"",tblJobs_MAIN[[#This Row],[Print Width mm]]&gt;tblJobs_MAIN[[#This Row],[S_StockWidth_mm]]),"; Print width exceeds stock width",""))</f>
        <v>; Student name or number required; Print width exceeds stock width</v>
      </c>
      <c r="V17" s="17" t="s">
        <v>95</v>
      </c>
      <c r="W17" s="17" t="s">
        <v>125</v>
      </c>
      <c r="X17" s="17" t="s">
        <v>84</v>
      </c>
      <c r="Y17" s="17" t="s">
        <v>58</v>
      </c>
      <c r="Z17" s="17" t="s">
        <v>56</v>
      </c>
      <c r="AA17" s="18">
        <v>8.75</v>
      </c>
      <c r="AB17" s="17">
        <v>914</v>
      </c>
      <c r="AC17" s="17"/>
      <c r="AD17" s="18">
        <v>2.85</v>
      </c>
      <c r="AE17" s="17">
        <v>46282.375</v>
      </c>
      <c r="AF17" s="17" t="s">
        <v>203</v>
      </c>
      <c r="AG17" s="17" t="s">
        <v>35</v>
      </c>
    </row>
  </sheetData>
  <dataValidations count="7">
    <dataValidation type="list" allowBlank="1" showInputMessage="1" showErrorMessage="1" errorTitle="Technician" error="Choose from the active technicians. Inactive technicians stay on historical records but cannot be selected for new jobs." promptTitle="Technician" prompt="Choose from the active technicians. Inactive technicians stay on historical records but cannot be selected for new jobs." sqref="F13:F2000" xr:uid="{00000000-0002-0000-0900-000000000000}">
      <formula1>lstTechnicians</formula1>
    </dataValidation>
    <dataValidation type="list" allowBlank="1" showInputMessage="1" showErrorMessage="1" errorTitle="Printer" error="Only printers available at this print room may be selected." promptTitle="Printer" prompt="Only printers available at this print room may be selected." sqref="G13:G2000" xr:uid="{00000000-0002-0000-0900-000001000000}">
      <formula1>lstPrinters</formula1>
    </dataValidation>
    <dataValidation type="list" allowBlank="1" showInputMessage="1" showErrorMessage="1" errorTitle="Paper stock" error="The list is limited to stocks whose paper family the selected printer supports. Choose a printer first." promptTitle="Paper stock" prompt="The list is limited to stocks whose paper family the selected printer supports. Choose a printer first." sqref="H13:H2000" xr:uid="{00000000-0002-0000-0900-000002000000}">
      <formula1>lstStocks</formula1>
    </dataValidation>
    <dataValidation type="list" allowBlank="1" showInputMessage="1" showErrorMessage="1" sqref="L13:M2000" xr:uid="{00000000-0002-0000-0900-000003000000}">
      <formula1>"Yes,No"</formula1>
    </dataValidation>
    <dataValidation type="decimal" operator="greaterThan" showInputMessage="1" showErrorMessage="1" errorTitle="Quantity" error="Sheets for sheet stock, metres for roll stock. Must be greater than zero." promptTitle="Quantity" prompt="Sheets for sheet stock, metres for roll stock. Must be greater than zero." sqref="J13:J2000" xr:uid="{00000000-0002-0000-0900-000005000000}">
      <formula1>0</formula1>
    </dataValidation>
    <dataValidation type="decimal" operator="greaterThan" allowBlank="1" showInputMessage="1" showErrorMessage="1" errorTitle="Print width" error="Optional, roll stock only, in millimetres. Leave blank to use the full width of the roll. It must not exceed the stock width." promptTitle="Print width" prompt="Optional, roll stock only, in millimetres. Leave blank to use the full width of the roll. It must not exceed the stock width." sqref="K13:K2000" xr:uid="{00000000-0002-0000-0900-000006000000}">
      <formula1>0</formula1>
    </dataValidation>
    <dataValidation type="date" operator="greaterThan" allowBlank="1" showInputMessage="1" showErrorMessage="1" errorTitle="Date and time" error="Date and time the print was produced. Use the Now button to stamp the current date and time." promptTitle="Date and time" prompt="Date and time the print was produced. Use the Now button to stamp the current date and time." sqref="C13:C2000" xr:uid="{00000000-0002-0000-0900-000007000000}">
      <formula1>36526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13"/>
  <sheetViews>
    <sheetView showGridLines="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RowHeight="14.5" outlineLevelCol="1" x14ac:dyDescent="0.35"/>
  <cols>
    <col min="1" max="1" width="30.7265625" customWidth="1"/>
    <col min="2" max="2" width="16.7265625" customWidth="1"/>
    <col min="3" max="3" width="17.7265625" customWidth="1"/>
    <col min="4" max="4" width="22.7265625" customWidth="1"/>
    <col min="5" max="5" width="13.7265625" customWidth="1"/>
    <col min="6" max="6" width="18.7265625" customWidth="1"/>
    <col min="7" max="7" width="24.7265625" customWidth="1"/>
    <col min="8" max="8" width="30.7265625" customWidth="1"/>
    <col min="9" max="9" width="9.7265625" customWidth="1"/>
    <col min="10" max="10" width="10.7265625" customWidth="1"/>
    <col min="11" max="11" width="13.7265625" customWidth="1"/>
    <col min="12" max="12" width="15.7265625" customWidth="1"/>
    <col min="13" max="13" width="19.7265625" customWidth="1"/>
    <col min="14" max="14" width="11.7265625" customWidth="1"/>
    <col min="15" max="15" width="12.7265625" customWidth="1"/>
    <col min="16" max="16" width="15.7265625" customWidth="1"/>
    <col min="17" max="18" width="12.7265625" customWidth="1"/>
    <col min="19" max="19" width="15.7265625" customWidth="1"/>
    <col min="20" max="20" width="34.7265625" customWidth="1"/>
    <col min="21" max="21" width="40.7265625" hidden="1" customWidth="1" outlineLevel="1"/>
    <col min="22" max="24" width="11.7265625" hidden="1" customWidth="1" outlineLevel="1"/>
    <col min="25" max="25" width="13.7265625" hidden="1" customWidth="1" outlineLevel="1"/>
    <col min="26" max="26" width="10.7265625" hidden="1" customWidth="1" outlineLevel="1"/>
    <col min="27" max="27" width="12.7265625" hidden="1" customWidth="1" outlineLevel="1"/>
    <col min="28" max="28" width="13.7265625" hidden="1" customWidth="1" outlineLevel="1"/>
    <col min="29" max="29" width="14.7265625" hidden="1" customWidth="1" outlineLevel="1"/>
    <col min="30" max="30" width="12.7265625" hidden="1" customWidth="1" outlineLevel="1"/>
    <col min="31" max="31" width="16.7265625" hidden="1" customWidth="1" outlineLevel="1"/>
    <col min="32" max="32" width="14.7265625" hidden="1" customWidth="1" outlineLevel="1"/>
    <col min="33" max="33" width="11.7265625" hidden="1" customWidth="1" outlineLevel="1"/>
    <col min="52" max="52" width="0" hidden="1" customWidth="1"/>
  </cols>
  <sheetData>
    <row r="1" spans="1:52" ht="21" x14ac:dyDescent="0.35">
      <c r="A1" s="6" t="s">
        <v>147</v>
      </c>
      <c r="B1" s="1" t="s">
        <v>214</v>
      </c>
      <c r="D1" s="3" t="s">
        <v>158</v>
      </c>
      <c r="AL1" s="19" t="s">
        <v>219</v>
      </c>
      <c r="AZ1" t="s">
        <v>157</v>
      </c>
    </row>
    <row r="2" spans="1:52" x14ac:dyDescent="0.35">
      <c r="A2" s="6" t="s">
        <v>19</v>
      </c>
      <c r="B2" s="7" t="s">
        <v>88</v>
      </c>
      <c r="D2" s="2" t="s">
        <v>159</v>
      </c>
      <c r="AL2" s="19" t="s">
        <v>149</v>
      </c>
      <c r="AM2" t="s">
        <v>215</v>
      </c>
    </row>
    <row r="3" spans="1:52" x14ac:dyDescent="0.35">
      <c r="A3" s="21"/>
      <c r="B3" s="5"/>
      <c r="D3" s="2"/>
      <c r="AL3" s="19" t="s">
        <v>151</v>
      </c>
      <c r="AM3" t="s">
        <v>152</v>
      </c>
    </row>
    <row r="4" spans="1:52" x14ac:dyDescent="0.35">
      <c r="A4" s="21"/>
      <c r="B4" s="7"/>
      <c r="AL4" s="19" t="s">
        <v>153</v>
      </c>
      <c r="AM4" t="s">
        <v>44</v>
      </c>
    </row>
    <row r="5" spans="1:52" x14ac:dyDescent="0.35">
      <c r="A5" s="21"/>
      <c r="B5" s="7"/>
      <c r="AL5" s="19" t="s">
        <v>155</v>
      </c>
      <c r="AM5" t="s">
        <v>156</v>
      </c>
    </row>
    <row r="6" spans="1:52" x14ac:dyDescent="0.35">
      <c r="A6" s="21"/>
      <c r="B6" s="5"/>
      <c r="AL6" s="20"/>
    </row>
    <row r="7" spans="1:52" x14ac:dyDescent="0.35">
      <c r="A7" s="21"/>
      <c r="B7" s="5"/>
      <c r="AL7" s="19" t="s">
        <v>221</v>
      </c>
      <c r="AM7" t="s">
        <v>216</v>
      </c>
    </row>
    <row r="8" spans="1:52" x14ac:dyDescent="0.35">
      <c r="AL8" s="20" t="s">
        <v>220</v>
      </c>
    </row>
    <row r="10" spans="1:52" x14ac:dyDescent="0.35">
      <c r="A10" s="5" t="s">
        <v>160</v>
      </c>
      <c r="C10" s="5" t="s">
        <v>161</v>
      </c>
      <c r="E10" s="5" t="s">
        <v>162</v>
      </c>
      <c r="G10" s="5" t="s">
        <v>163</v>
      </c>
      <c r="I10" s="5" t="s">
        <v>164</v>
      </c>
      <c r="K10" s="5" t="s">
        <v>165</v>
      </c>
      <c r="M10" s="2" t="s">
        <v>166</v>
      </c>
    </row>
    <row r="12" spans="1:52" ht="29" x14ac:dyDescent="0.35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4" t="s">
        <v>182</v>
      </c>
      <c r="Q12" s="4" t="s">
        <v>183</v>
      </c>
      <c r="R12" s="4" t="s">
        <v>184</v>
      </c>
      <c r="S12" s="4" t="s">
        <v>185</v>
      </c>
      <c r="T12" s="4" t="s">
        <v>6</v>
      </c>
      <c r="U12" s="4" t="s">
        <v>186</v>
      </c>
      <c r="V12" s="4" t="s">
        <v>187</v>
      </c>
      <c r="W12" s="4" t="s">
        <v>188</v>
      </c>
      <c r="X12" s="4" t="s">
        <v>189</v>
      </c>
      <c r="Y12" s="4" t="s">
        <v>190</v>
      </c>
      <c r="Z12" s="4" t="s">
        <v>191</v>
      </c>
      <c r="AA12" s="4" t="s">
        <v>192</v>
      </c>
      <c r="AB12" s="4" t="s">
        <v>193</v>
      </c>
      <c r="AC12" s="4" t="s">
        <v>194</v>
      </c>
      <c r="AD12" s="4" t="s">
        <v>195</v>
      </c>
      <c r="AE12" s="4" t="s">
        <v>196</v>
      </c>
      <c r="AF12" s="4" t="s">
        <v>197</v>
      </c>
      <c r="AG12" s="4" t="s">
        <v>198</v>
      </c>
    </row>
    <row r="13" spans="1:52" x14ac:dyDescent="0.35">
      <c r="A13" s="10" t="str">
        <f>IF(tblJobs_ANNEX[[#This Row],[Job ID]]="","",IF(tblJobs_ANNEX[[#This Row],[H_Issues]]="","OK",MID(tblJobs_ANNEX[[#This Row],[H_Issues]],3,255)))</f>
        <v>OK</v>
      </c>
      <c r="B13" s="5" t="s">
        <v>217</v>
      </c>
      <c r="C13" s="12">
        <v>46281.40625</v>
      </c>
      <c r="D13" s="13" t="s">
        <v>200</v>
      </c>
      <c r="E13" s="13" t="s">
        <v>201</v>
      </c>
      <c r="F13" s="13" t="s">
        <v>87</v>
      </c>
      <c r="G13" s="13" t="s">
        <v>101</v>
      </c>
      <c r="H13" s="13" t="s">
        <v>120</v>
      </c>
      <c r="I13" s="10" t="str">
        <f>IF(tblJobs_ANNEX[[#This Row],[S_Measure]]="","",IF(tblJobs_ANNEX[[#This Row],[S_Measure]]="Sheet","sheets","metres"))</f>
        <v>sheets</v>
      </c>
      <c r="J13" s="14">
        <v>40</v>
      </c>
      <c r="K13" s="8"/>
      <c r="L13" s="13" t="s">
        <v>152</v>
      </c>
      <c r="M13" s="13" t="s">
        <v>152</v>
      </c>
      <c r="N13" s="15">
        <f>IF(tblJobs_ANNEX[[#This Row],[Quantity]]="","",IF(tblJobs_ANNEX[[#This Row],[S_Measure]]="Sheet",(tblJobs_ANNEX[[#This Row],[S_StockWidth_mm]]/1000)*(tblJobs_ANNEX[[#This Row],[S_SheetHeight_mm]]/1000)*tblJobs_ANNEX[[#This Row],[Quantity]],(IF(tblJobs_ANNEX[[#This Row],[Print Width mm]]="",tblJobs_ANNEX[[#This Row],[S_StockWidth_mm]],tblJobs_ANNEX[[#This Row],[Print Width mm]])/1000)*tblJobs_ANNEX[[#This Row],[Quantity]]))</f>
        <v>5.7600000000000007</v>
      </c>
      <c r="O13" s="16">
        <f>IF(tblJobs_ANNEX[[#This Row],[Quantity]]="","",ROUND(tblJobs_ANNEX[[#This Row],[Quantity]]*tblJobs_ANNEX[[#This Row],[S_UnitCost]],SET_ROUND_DP))</f>
        <v>12.4</v>
      </c>
      <c r="P13" s="16">
        <f>IF(tblJobs_ANNEX[[#This Row],[Area m2]]="","",ROUND(tblJobs_ANNEX[[#This Row],[Area m2]]*tblJobs_ANNEX[[#This Row],[S_ConsRate]],SET_ROUND_DP))</f>
        <v>5.47</v>
      </c>
      <c r="Q13" s="16">
        <f>IF(tblJobs_ANNEX[[#This Row],[Paper Cost]]="","",tblJobs_ANNEX[[#This Row],[Paper Cost]]+tblJobs_ANNEX[[#This Row],[Consumable Cost]])</f>
        <v>17.87</v>
      </c>
      <c r="R13" s="16">
        <f>IF(tblJobs_ANNEX[[#This Row],[Gross Cost]]="","",tblJobs_ANNEX[[#This Row],[Gross Cost]]-tblJobs_ANNEX[[#This Row],[Chargeable Cost]])</f>
        <v>0</v>
      </c>
      <c r="S13" s="16">
        <f>IF(tblJobs_ANNEX[[#This Row],[Paper Cost]]="","",IF(tblJobs_ANNEX[[#This Row],[Disregard Paper]]="Yes",0,tblJobs_ANNEX[[#This Row],[Paper Cost]])+IF(tblJobs_ANNEX[[#This Row],[Disregard Consumable]]="Yes",0,tblJobs_ANNEX[[#This Row],[Consumable Cost]]))</f>
        <v>17.87</v>
      </c>
      <c r="T13" s="13" t="s">
        <v>218</v>
      </c>
      <c r="U13" s="17" t="str">
        <f>IF(tblJobs_ANNEX[[#This Row],[Job ID]]="","",IF(tblJobs_ANNEX[[#This Row],[Date/Time]]="","; Date and time required","")&amp;IF(AND(tblJobs_ANNEX[[#This Row],[Student Name]]="",tblJobs_ANNEX[[#This Row],[Student No]]=""),"; Student name or number required","")&amp;IF(tblJobs_ANNEX[[#This Row],[Technician]]="","; Technician required","")&amp;IF(tblJobs_ANNEX[[#This Row],[Printer]]="","; Printer required","")&amp;IF(tblJobs_ANNEX[[#This Row],[Paper Stock]]="","; Paper stock required","")&amp;IF(tblJobs_ANNEX[[#This Row],[Quantity]]="","; Quantity required",IF(tblJobs_ANNEX[[#This Row],[Quantity]]&lt;=0,"; Quantity must be greater than zero",""))&amp;IF(AND(tblJobs_ANNEX[[#This Row],[S_Measure]]="Sheet",tblJobs_ANNEX[[#This Row],[Quantity]]&lt;&gt;"",tblJobs_ANNEX[[#This Row],[Quantity]]&lt;&gt;INT(tblJobs_ANNEX[[#This Row],[Quantity]])),"; Sheet quantity must be a whole number","")&amp;IF(AND(tblJobs_ANNEX[[#This Row],[S_Measure]]="Sheet",tblJobs_ANNEX[[#This Row],[Print Width mm]]&lt;&gt;""),"; Print width does not apply to sheet stock","")&amp;IF(AND(tblJobs_ANNEX[[#This Row],[Print Width mm]]&lt;&gt;"",tblJobs_ANNEX[[#This Row],[Print Width mm]]&gt;tblJobs_ANNEX[[#This Row],[S_StockWidth_mm]]),"; Print width exceeds stock width",""))</f>
        <v/>
      </c>
      <c r="V13" s="17" t="s">
        <v>100</v>
      </c>
      <c r="W13" s="17" t="s">
        <v>119</v>
      </c>
      <c r="X13" s="17" t="s">
        <v>82</v>
      </c>
      <c r="Y13" s="17" t="s">
        <v>53</v>
      </c>
      <c r="Z13" s="17" t="s">
        <v>53</v>
      </c>
      <c r="AA13" s="18">
        <v>0.31</v>
      </c>
      <c r="AB13" s="17">
        <v>320</v>
      </c>
      <c r="AC13" s="17">
        <v>450</v>
      </c>
      <c r="AD13" s="18">
        <v>0.95</v>
      </c>
      <c r="AE13" s="17">
        <v>46282.375</v>
      </c>
      <c r="AF13" s="17" t="s">
        <v>203</v>
      </c>
      <c r="AG13" s="17" t="s">
        <v>35</v>
      </c>
    </row>
  </sheetData>
  <dataValidations count="7">
    <dataValidation type="list" allowBlank="1" showInputMessage="1" showErrorMessage="1" errorTitle="Technician" error="Choose from the active technicians. Inactive technicians stay on historical records but cannot be selected for new jobs." promptTitle="Technician" prompt="Choose from the active technicians. Inactive technicians stay on historical records but cannot be selected for new jobs." sqref="F13:F2000" xr:uid="{00000000-0002-0000-0A00-000000000000}">
      <formula1>lstTechnicians</formula1>
    </dataValidation>
    <dataValidation type="list" allowBlank="1" showInputMessage="1" showErrorMessage="1" errorTitle="Printer" error="Only printers available at this print room may be selected." promptTitle="Printer" prompt="Only printers available at this print room may be selected." sqref="G13:G2000" xr:uid="{00000000-0002-0000-0A00-000001000000}">
      <formula1>lstPrinters</formula1>
    </dataValidation>
    <dataValidation type="list" allowBlank="1" showInputMessage="1" showErrorMessage="1" errorTitle="Paper stock" error="The list is limited to stocks whose paper family the selected printer supports. Choose a printer first." promptTitle="Paper stock" prompt="The list is limited to stocks whose paper family the selected printer supports. Choose a printer first." sqref="H13:H2000" xr:uid="{00000000-0002-0000-0A00-000002000000}">
      <formula1>lstStocks</formula1>
    </dataValidation>
    <dataValidation type="list" allowBlank="1" showInputMessage="1" showErrorMessage="1" sqref="L13:M2000" xr:uid="{00000000-0002-0000-0A00-000003000000}">
      <formula1>"Yes,No"</formula1>
    </dataValidation>
    <dataValidation type="decimal" operator="greaterThan" showInputMessage="1" showErrorMessage="1" errorTitle="Quantity" error="Sheets for sheet stock, metres for roll stock. Must be greater than zero." promptTitle="Quantity" prompt="Sheets for sheet stock, metres for roll stock. Must be greater than zero." sqref="J13:J2000" xr:uid="{00000000-0002-0000-0A00-000005000000}">
      <formula1>0</formula1>
    </dataValidation>
    <dataValidation type="decimal" operator="greaterThan" allowBlank="1" showInputMessage="1" showErrorMessage="1" errorTitle="Print width" error="Optional, roll stock only, in millimetres. Leave blank to use the full width of the roll. It must not exceed the stock width." promptTitle="Print width" prompt="Optional, roll stock only, in millimetres. Leave blank to use the full width of the roll. It must not exceed the stock width." sqref="K13:K2000" xr:uid="{00000000-0002-0000-0A00-000006000000}">
      <formula1>0</formula1>
    </dataValidation>
    <dataValidation type="date" operator="greaterThan" allowBlank="1" showInputMessage="1" showErrorMessage="1" errorTitle="Date and time" error="Date and time the print was produced. Use the Now button to stamp the current date and time." promptTitle="Date and time" prompt="Date and time the print was produced. Use the Now button to stamp the current date and time." sqref="C13:C2000" xr:uid="{00000000-0002-0000-0A00-000007000000}">
      <formula1>36526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31</vt:i4>
      </vt:variant>
    </vt:vector>
  </HeadingPairs>
  <TitlesOfParts>
    <vt:vector size="37" baseType="lpstr">
      <vt:lpstr>Settings</vt:lpstr>
      <vt:lpstr>Print Technicians</vt:lpstr>
      <vt:lpstr>Printers</vt:lpstr>
      <vt:lpstr>Papers</vt:lpstr>
      <vt:lpstr>Main Print Room</vt:lpstr>
      <vt:lpstr>Annexe</vt:lpstr>
      <vt:lpstr>Annexe!LOC_Code</vt:lpstr>
      <vt:lpstr>'Main Print Room'!LOC_Code</vt:lpstr>
      <vt:lpstr>Annexe!LOC_DefDisCons</vt:lpstr>
      <vt:lpstr>'Main Print Room'!LOC_DefDisCons</vt:lpstr>
      <vt:lpstr>Annexe!LOC_DefDisPaper</vt:lpstr>
      <vt:lpstr>'Main Print Room'!LOC_DefDisPaper</vt:lpstr>
      <vt:lpstr>Annexe!LOC_Dept</vt:lpstr>
      <vt:lpstr>'Main Print Room'!LOC_Dept</vt:lpstr>
      <vt:lpstr>Annexe!LOC_Name</vt:lpstr>
      <vt:lpstr>'Main Print Room'!LOC_Name</vt:lpstr>
      <vt:lpstr>Annexe!LOC_Printers</vt:lpstr>
      <vt:lpstr>'Main Print Room'!LOC_Printers</vt:lpstr>
      <vt:lpstr>Annexe!LOC_Status</vt:lpstr>
      <vt:lpstr>'Main Print Room'!LOC_Status</vt:lpstr>
      <vt:lpstr>lstConsumables</vt:lpstr>
      <vt:lpstr>lstFamilies</vt:lpstr>
      <vt:lpstr>lstPaperTypes</vt:lpstr>
      <vt:lpstr>lstPrinters</vt:lpstr>
      <vt:lpstr>lstStandardSizes</vt:lpstr>
      <vt:lpstr>lstStocks</vt:lpstr>
      <vt:lpstr>lstTechnicians</vt:lpstr>
      <vt:lpstr>SET_CURRENCY</vt:lpstr>
      <vt:lpstr>SET_DEPT</vt:lpstr>
      <vt:lpstr>SET_FOOTER</vt:lpstr>
      <vt:lpstr>SET_FY_START</vt:lpstr>
      <vt:lpstr>SET_LASTREF</vt:lpstr>
      <vt:lpstr>SET_ORG</vt:lpstr>
      <vt:lpstr>SET_ROUND_DP</vt:lpstr>
      <vt:lpstr>SET_SCHEMA</vt:lpstr>
      <vt:lpstr>SET_SITE_ID</vt:lpstr>
      <vt:lpstr>SET_SITE_NAME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Shailer</cp:lastModifiedBy>
  <dcterms:created xsi:type="dcterms:W3CDTF">2026-09-18T15:15:00Z</dcterms:created>
  <dcterms:modified xsi:type="dcterms:W3CDTF">2026-09-26T11:22:14Z</dcterms:modified>
</cp:coreProperties>
</file>