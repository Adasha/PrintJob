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ash\AppData\Local\Temp\"/>
    </mc:Choice>
  </mc:AlternateContent>
  <xr:revisionPtr revIDLastSave="0" documentId="13_ncr:1_{A0D7C1F7-FB22-4145-ABC6-E600B8368D9E}" xr6:coauthVersionLast="47" xr6:coauthVersionMax="47" xr10:uidLastSave="{00000000-0000-0000-0000-000000000000}"/>
  <bookViews>
    <workbookView xWindow="1290" yWindow="-110" windowWidth="24420" windowHeight="14620" activeTab="4" xr2:uid="{00000000-000D-0000-FFFF-FFFF00000000}"/>
  </bookViews>
  <sheets>
    <sheet name="Example Print Room" sheetId="10" r:id="rId1"/>
    <sheet name="Print Technicians" sheetId="2" r:id="rId2"/>
    <sheet name="Printers" sheetId="3" r:id="rId3"/>
    <sheet name="Papers" sheetId="4" r:id="rId4"/>
    <sheet name="Settings" sheetId="1" r:id="rId5"/>
    <sheet name="_Registry" sheetId="5" state="veryHidden" r:id="rId6"/>
    <sheet name="_Work" sheetId="6" state="veryHidden" r:id="rId7"/>
    <sheet name="_Export" sheetId="7" state="veryHidden" r:id="rId8"/>
    <sheet name="_Audit" sheetId="8" state="veryHidden" r:id="rId9"/>
    <sheet name="_Picker" sheetId="9" state="veryHidden" r:id="rId10"/>
  </sheets>
  <definedNames>
    <definedName name="LOC_Code" localSheetId="0">'Example Print Room'!$AX$2</definedName>
    <definedName name="LOC_DefDisCons" localSheetId="0">'Example Print Room'!$B$9</definedName>
    <definedName name="LOC_DefDisPaper" localSheetId="0">'Example Print Room'!$B$8</definedName>
    <definedName name="LOC_DefPaper" localSheetId="0">'Example Print Room'!$B$6</definedName>
    <definedName name="LOC_DefPrinter" localSheetId="0">'Example Print Room'!$B$5</definedName>
    <definedName name="LOC_DefTech" localSheetId="0">'Example Print Room'!$B$4</definedName>
    <definedName name="LOC_Dept" localSheetId="0">'Example Print Room'!$B$2</definedName>
    <definedName name="LOC_Export" localSheetId="0">'Example Print Room'!$AX$8</definedName>
    <definedName name="LOC_Name" localSheetId="0">'Example Print Room'!$B$1</definedName>
    <definedName name="LOC_Printers" localSheetId="0">'Example Print Room'!$AX$9</definedName>
    <definedName name="LOC_RollUnit" localSheetId="0">'Example Print Room'!$B$11</definedName>
    <definedName name="LOC_Status" localSheetId="0">'Example Print Room'!$AX$6</definedName>
    <definedName name="lstConsumables">tblConsumables[Consumable type]</definedName>
    <definedName name="lstPaperTypes">tblPaperTypes[Paper type]</definedName>
    <definedName name="lstPrinters">tblPrinters[Model]</definedName>
    <definedName name="lstStandardSizes">tblStandardSizes[Size name]</definedName>
    <definedName name="lstStocks">tblPapers[Description]</definedName>
    <definedName name="lstTechnicians">tblTechnicians[Name]</definedName>
    <definedName name="RNG_STD_SIZES">tblStandardSizes[Size name]</definedName>
    <definedName name="SET_APP_VER">Settings!$C$17</definedName>
    <definedName name="SET_BUILT">Settings!$C$18</definedName>
    <definedName name="SET_BUILT_BY">Settings!$C$19</definedName>
    <definedName name="SET_COST_COLS_HIDDEN">Settings!$C$24</definedName>
    <definedName name="SET_CURRENCY">Settings!$C$13</definedName>
    <definedName name="SET_DEPT">Settings!$C$12</definedName>
    <definedName name="SET_EXPORT_FOLDER">Settings!$C$20</definedName>
    <definedName name="SET_LASTREF">Settings!$C$16</definedName>
    <definedName name="SET_LOC_MINIMAL_COLUMNS">Settings!$C$23</definedName>
    <definedName name="SET_LOC_REDUCED_COLUMNS">Settings!$C$22</definedName>
    <definedName name="SET_LOC_REDUCED_VIEW">Settings!$C$21</definedName>
    <definedName name="SET_MULTIPASS_COLS_HIDDEN">Settings!$C$25</definedName>
    <definedName name="SET_ORG">Settings!$C$11</definedName>
    <definedName name="SET_PRINTER_ID_HWM">Settings!$C$27</definedName>
    <definedName name="SET_REPORT_HEADING">Settings!$C$29</definedName>
    <definedName name="SET_ROUND_DP">Settings!$C$14</definedName>
    <definedName name="SET_SCHEMA">Settings!$C$15</definedName>
    <definedName name="SET_SITE_ID">Settings!$C$9</definedName>
    <definedName name="SET_SITE_NAME">Settings!$C$10</definedName>
    <definedName name="SET_STOCK_ID_HWM">Settings!$C$28</definedName>
    <definedName name="SET_TECH_ID_HWM">Settings!$C$26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" i="10" l="1"/>
  <c r="AD19" i="10"/>
  <c r="AD20" i="10"/>
  <c r="AD21" i="10"/>
  <c r="AD22" i="10"/>
  <c r="AD23" i="10"/>
  <c r="AD24" i="10"/>
  <c r="AD25" i="10"/>
  <c r="AD26" i="10"/>
  <c r="AD27" i="10"/>
  <c r="AD28" i="10"/>
  <c r="AD29" i="10"/>
  <c r="Q18" i="10"/>
  <c r="Q19" i="10"/>
  <c r="Q20" i="10"/>
  <c r="Q21" i="10"/>
  <c r="Q22" i="10"/>
  <c r="Q23" i="10"/>
  <c r="Q24" i="10"/>
  <c r="Q25" i="10"/>
  <c r="Q26" i="10"/>
  <c r="Q27" i="10"/>
  <c r="U27" i="10" s="1"/>
  <c r="Q28" i="10"/>
  <c r="Q29" i="10"/>
  <c r="U22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O18" i="10"/>
  <c r="O22" i="10"/>
  <c r="O23" i="10"/>
  <c r="O26" i="10"/>
  <c r="O28" i="10"/>
  <c r="I18" i="10"/>
  <c r="P18" i="10" s="1"/>
  <c r="I19" i="10"/>
  <c r="P19" i="10" s="1"/>
  <c r="I20" i="10"/>
  <c r="P20" i="10" s="1"/>
  <c r="I21" i="10"/>
  <c r="P21" i="10" s="1"/>
  <c r="I22" i="10"/>
  <c r="P22" i="10" s="1"/>
  <c r="I23" i="10"/>
  <c r="P23" i="10" s="1"/>
  <c r="I24" i="10"/>
  <c r="O24" i="10" s="1"/>
  <c r="I25" i="10"/>
  <c r="O25" i="10" s="1"/>
  <c r="I26" i="10"/>
  <c r="P26" i="10" s="1"/>
  <c r="I27" i="10"/>
  <c r="O27" i="10" s="1"/>
  <c r="I28" i="10"/>
  <c r="P28" i="10" s="1"/>
  <c r="I29" i="10"/>
  <c r="O29" i="10" s="1"/>
  <c r="J15" i="4"/>
  <c r="J14" i="4"/>
  <c r="J13" i="4"/>
  <c r="J12" i="4"/>
  <c r="J11" i="4"/>
  <c r="J10" i="4"/>
  <c r="J9" i="4"/>
  <c r="J8" i="4"/>
  <c r="J7" i="4"/>
  <c r="AC29" i="10"/>
  <c r="W29" i="10" s="1"/>
  <c r="AC28" i="10"/>
  <c r="W28" i="10" s="1"/>
  <c r="AC27" i="10"/>
  <c r="W27" i="10" s="1"/>
  <c r="AC26" i="10"/>
  <c r="W26" i="10" s="1"/>
  <c r="AC25" i="10"/>
  <c r="W25" i="10" s="1"/>
  <c r="AC24" i="10"/>
  <c r="W24" i="10" s="1"/>
  <c r="AC23" i="10"/>
  <c r="W23" i="10" s="1"/>
  <c r="AC22" i="10"/>
  <c r="W22" i="10" s="1"/>
  <c r="AC21" i="10"/>
  <c r="W21" i="10" s="1"/>
  <c r="AC20" i="10"/>
  <c r="W20" i="10" s="1"/>
  <c r="AC19" i="10"/>
  <c r="W19" i="10" s="1"/>
  <c r="AC18" i="10"/>
  <c r="W18" i="10" s="1"/>
  <c r="B13" i="10"/>
  <c r="B12" i="10"/>
  <c r="U29" i="10" l="1"/>
  <c r="U28" i="10"/>
  <c r="U26" i="10"/>
  <c r="U25" i="10"/>
  <c r="S22" i="10"/>
  <c r="S29" i="10"/>
  <c r="U24" i="10"/>
  <c r="S28" i="10"/>
  <c r="U23" i="10"/>
  <c r="S27" i="10"/>
  <c r="S26" i="10"/>
  <c r="U21" i="10"/>
  <c r="S25" i="10"/>
  <c r="U20" i="10"/>
  <c r="S24" i="10"/>
  <c r="U19" i="10"/>
  <c r="S23" i="10"/>
  <c r="U18" i="10"/>
  <c r="S21" i="10"/>
  <c r="S20" i="10"/>
  <c r="S19" i="10"/>
  <c r="S18" i="10"/>
  <c r="T22" i="10"/>
  <c r="P27" i="10"/>
  <c r="P24" i="10"/>
  <c r="O21" i="10"/>
  <c r="O20" i="10"/>
  <c r="O19" i="10"/>
  <c r="P29" i="10"/>
  <c r="P25" i="10"/>
  <c r="T28" i="10" l="1"/>
  <c r="T23" i="10"/>
  <c r="T26" i="10"/>
  <c r="T29" i="10"/>
  <c r="T24" i="10"/>
  <c r="T18" i="10"/>
  <c r="T27" i="10" l="1"/>
  <c r="T25" i="10"/>
  <c r="T21" i="10"/>
  <c r="T19" i="10"/>
  <c r="T20" i="10"/>
</calcChain>
</file>

<file path=xl/sharedStrings.xml><?xml version="1.0" encoding="utf-8"?>
<sst xmlns="http://schemas.openxmlformats.org/spreadsheetml/2006/main" count="509" uniqueCount="294">
  <si>
    <t>Settings</t>
  </si>
  <si>
    <t>Global parameters and the reference lists the rest of the workbook draws on. Changing a value here never alters the cost of an existing print record.</t>
  </si>
  <si>
    <t>Global settings</t>
  </si>
  <si>
    <t>Key</t>
  </si>
  <si>
    <t>Setting</t>
  </si>
  <si>
    <t>Value</t>
  </si>
  <si>
    <t>Notes</t>
  </si>
  <si>
    <t>SITE_ID</t>
  </si>
  <si>
    <t>Site ID</t>
  </si>
  <si>
    <t>UNI</t>
  </si>
  <si>
    <t>Short code for this workbook. Used in job IDs so records stay unique if several sites are collated. Leave as-is for single-workbook use.</t>
  </si>
  <si>
    <t>SITE_NAME</t>
  </si>
  <si>
    <t>Site name</t>
  </si>
  <si>
    <t>Main Campus</t>
  </si>
  <si>
    <t>ORG</t>
  </si>
  <si>
    <t>Organisation</t>
  </si>
  <si>
    <t>University</t>
  </si>
  <si>
    <t>Appears on reports.</t>
  </si>
  <si>
    <t>DEPT</t>
  </si>
  <si>
    <t>Department</t>
  </si>
  <si>
    <t>Print Services</t>
  </si>
  <si>
    <t>CURRENCY</t>
  </si>
  <si>
    <t>Currency symbol</t>
  </si>
  <si>
    <t>£</t>
  </si>
  <si>
    <t>Display only.</t>
  </si>
  <si>
    <t>ROUND_DP</t>
  </si>
  <si>
    <t>Currency decimal places</t>
  </si>
  <si>
    <t>WARNING: changing this recalculates the cost of existing records.</t>
  </si>
  <si>
    <t>SCHEMA</t>
  </si>
  <si>
    <t>Schema version</t>
  </si>
  <si>
    <t>Read-only. Do not edit.</t>
  </si>
  <si>
    <t>LASTREF</t>
  </si>
  <si>
    <t>Last locations refresh</t>
  </si>
  <si>
    <t>Read-only. Set by Refresh Locations.</t>
  </si>
  <si>
    <t>Paper stock types</t>
  </si>
  <si>
    <t>Paper type</t>
  </si>
  <si>
    <t>Active</t>
  </si>
  <si>
    <t>Vinyl</t>
  </si>
  <si>
    <t>Yes</t>
  </si>
  <si>
    <t>Gloss</t>
  </si>
  <si>
    <t>Matte</t>
  </si>
  <si>
    <t>Canvas</t>
  </si>
  <si>
    <t>Satin</t>
  </si>
  <si>
    <t>Uncoated</t>
  </si>
  <si>
    <t>Sheet</t>
  </si>
  <si>
    <t>Roll</t>
  </si>
  <si>
    <t>Standard paper sizes (mm)</t>
  </si>
  <si>
    <t>Size name</t>
  </si>
  <si>
    <t>Width mm</t>
  </si>
  <si>
    <t>Height mm</t>
  </si>
  <si>
    <t>A0</t>
  </si>
  <si>
    <t>A1</t>
  </si>
  <si>
    <t>A2</t>
  </si>
  <si>
    <t>A3</t>
  </si>
  <si>
    <t>A4</t>
  </si>
  <si>
    <t>SRA3</t>
  </si>
  <si>
    <t>Consumable types</t>
  </si>
  <si>
    <t>Consumable type</t>
  </si>
  <si>
    <t>Ink</t>
  </si>
  <si>
    <t>Toner</t>
  </si>
  <si>
    <t>Solid ink</t>
  </si>
  <si>
    <t>Latex</t>
  </si>
  <si>
    <t>Print Technicians</t>
  </si>
  <si>
    <t>Technicians who handle print jobs. Set a technician to Inactive rather than deleting the row — historical records keep working, but the name stops appearing for new jobs.</t>
  </si>
  <si>
    <t>TechID</t>
  </si>
  <si>
    <t>Name</t>
  </si>
  <si>
    <t>TEC-001</t>
  </si>
  <si>
    <t>A. Shailer</t>
  </si>
  <si>
    <t>TEC-002</t>
  </si>
  <si>
    <t>J. Okonkwo</t>
  </si>
  <si>
    <t>TEC-003</t>
  </si>
  <si>
    <t>M. Da Silva</t>
  </si>
  <si>
    <t>School of Art</t>
  </si>
  <si>
    <t>Printers</t>
  </si>
  <si>
    <t>One row per printer model. The consumable cost per square metre already accounts for typical coverage, so no separate coverage figure is needed.</t>
  </si>
  <si>
    <t>PrinterID</t>
  </si>
  <si>
    <t>Model</t>
  </si>
  <si>
    <t>Cost per m2</t>
  </si>
  <si>
    <t>PRN-001</t>
  </si>
  <si>
    <t>Epson SureColor P9500</t>
  </si>
  <si>
    <t>PRN-002</t>
  </si>
  <si>
    <t>HP DesignJet Z9+</t>
  </si>
  <si>
    <t>PRN-003</t>
  </si>
  <si>
    <t>Xerox Versant 180</t>
  </si>
  <si>
    <t>PRN-004</t>
  </si>
  <si>
    <t>HP Latex 335</t>
  </si>
  <si>
    <t>Papers</t>
  </si>
  <si>
    <t>One row per individual paper stock. Each type/size combination is its own row. All dimensions are millimetres; roll stock is bought and consumed by the metre.</t>
  </si>
  <si>
    <t>StockID</t>
  </si>
  <si>
    <t>Description</t>
  </si>
  <si>
    <t>Measure</t>
  </si>
  <si>
    <t>Size mode</t>
  </si>
  <si>
    <t>Cost</t>
  </si>
  <si>
    <t>Cost unit</t>
  </si>
  <si>
    <t>STK-001</t>
  </si>
  <si>
    <t>Matte 180gsm A1 sheet</t>
  </si>
  <si>
    <t>Standard</t>
  </si>
  <si>
    <t>STK-002</t>
  </si>
  <si>
    <t>Matte 180gsm A2 sheet</t>
  </si>
  <si>
    <t>STK-003</t>
  </si>
  <si>
    <t>Gloss 200gsm SRA3 sheet</t>
  </si>
  <si>
    <t>STK-004</t>
  </si>
  <si>
    <t>Uncoated 120gsm A3 sheet</t>
  </si>
  <si>
    <t>STK-005</t>
  </si>
  <si>
    <t>Satin photo 610mm roll</t>
  </si>
  <si>
    <t>STK-006</t>
  </si>
  <si>
    <t>Canvas 914mm roll</t>
  </si>
  <si>
    <t>STK-007</t>
  </si>
  <si>
    <t>Vinyl self-adhesive 1370mm roll</t>
  </si>
  <si>
    <t>STK-008</t>
  </si>
  <si>
    <t>Matte 180gsm 1067mm roll</t>
  </si>
  <si>
    <t>STK-009</t>
  </si>
  <si>
    <t>Gloss offcut 320x450 sheet</t>
  </si>
  <si>
    <t>Custom sheet</t>
  </si>
  <si>
    <t>Size mode Standard fills width and height from the standard size list. Custom sheet takes both directly. Roll takes the roll width only.</t>
  </si>
  <si>
    <t>SheetName</t>
  </si>
  <si>
    <t>Code</t>
  </si>
  <si>
    <t>Rows</t>
  </si>
  <si>
    <t>First date</t>
  </si>
  <si>
    <t>Last date</t>
  </si>
  <si>
    <t>State</t>
  </si>
  <si>
    <t>When</t>
  </si>
  <si>
    <t>User</t>
  </si>
  <si>
    <t>Action</t>
  </si>
  <si>
    <t>Location</t>
  </si>
  <si>
    <t>Detail</t>
  </si>
  <si>
    <t>Picker</t>
  </si>
  <si>
    <t>Print room</t>
  </si>
  <si>
    <t>Location code</t>
  </si>
  <si>
    <t>No</t>
  </si>
  <si>
    <t>Sheet status</t>
  </si>
  <si>
    <t>Not yet checked</t>
  </si>
  <si>
    <t>PRINTLOC/v1</t>
  </si>
  <si>
    <t>Status</t>
  </si>
  <si>
    <t>Job ID</t>
  </si>
  <si>
    <t>Date/Time</t>
  </si>
  <si>
    <t>Student Name</t>
  </si>
  <si>
    <t>Student No</t>
  </si>
  <si>
    <t>Technician</t>
  </si>
  <si>
    <t>Printer</t>
  </si>
  <si>
    <t>Paper Stock</t>
  </si>
  <si>
    <t>Unit</t>
  </si>
  <si>
    <t>Print Width mm</t>
  </si>
  <si>
    <t>Disregard Paper</t>
  </si>
  <si>
    <t>Disregard Consumable</t>
  </si>
  <si>
    <t>Area m2</t>
  </si>
  <si>
    <t>Paper Cost</t>
  </si>
  <si>
    <t>Consumable Cost</t>
  </si>
  <si>
    <t>Gross Cost</t>
  </si>
  <si>
    <t>Disregarded</t>
  </si>
  <si>
    <t>Chargeable Cost</t>
  </si>
  <si>
    <t>H_Issues</t>
  </si>
  <si>
    <t>S_PrinterID</t>
  </si>
  <si>
    <t>S_StockID</t>
  </si>
  <si>
    <t>S_TechID</t>
  </si>
  <si>
    <t>S_Measure</t>
  </si>
  <si>
    <t>S_UnitCost</t>
  </si>
  <si>
    <t>S_StockWidth_mm</t>
  </si>
  <si>
    <t>S_SheetHeight_mm</t>
  </si>
  <si>
    <t>S_ConsRate</t>
  </si>
  <si>
    <t>S_StampedAt</t>
  </si>
  <si>
    <t>S_StampedBy</t>
  </si>
  <si>
    <t>S_SchemaVer</t>
  </si>
  <si>
    <t>Jane Smith</t>
  </si>
  <si>
    <t>Degree show booklets</t>
  </si>
  <si>
    <t>build</t>
  </si>
  <si>
    <t>Full-width canvas run</t>
  </si>
  <si>
    <t>Ravi Patel</t>
  </si>
  <si>
    <t>600mm print on the same roll</t>
  </si>
  <si>
    <t>Paper donated by the department</t>
  </si>
  <si>
    <t>Location settings</t>
  </si>
  <si>
    <t>Printers are chosen with the Select printers... button (side panel below); only printers listed here can be used for jobs on this sheet.</t>
  </si>
  <si>
    <t>Permitted printers (raw list)</t>
  </si>
  <si>
    <t>Amara Chen</t>
  </si>
  <si>
    <t>Consumable cost waived - internal test proofs</t>
  </si>
  <si>
    <t>Custom-size offcut stock, not a standard sheet size</t>
  </si>
  <si>
    <t>Outdoor banner vinyl, latex ink</t>
  </si>
  <si>
    <t>Student number only, given verbally at the counter</t>
  </si>
  <si>
    <t>Departmental job charged to School of Art, no student involved</t>
  </si>
  <si>
    <t>Large-format handout roll</t>
  </si>
  <si>
    <t>SAMPLE: invalid - missing student identification and print width exceeds the roll</t>
  </si>
  <si>
    <t>Open day posters</t>
  </si>
  <si>
    <t>Epson SureColor P9500;HP DesignJet Z9+;Xerox Versant 180</t>
  </si>
  <si>
    <t>Example Print Room</t>
  </si>
  <si>
    <t>Last export</t>
  </si>
  <si>
    <t>Export sig</t>
  </si>
  <si>
    <t>Job ID HWM</t>
  </si>
  <si>
    <t>APP_VER</t>
  </si>
  <si>
    <t>Workbook version</t>
  </si>
  <si>
    <t>Read-only. Matches the code in this workbook.</t>
  </si>
  <si>
    <t>BUILT</t>
  </si>
  <si>
    <t>Built</t>
  </si>
  <si>
    <t>Read-only. When this file was produced.</t>
  </si>
  <si>
    <t>BUILT_BY</t>
  </si>
  <si>
    <t>Built by</t>
  </si>
  <si>
    <t>Read-only.</t>
  </si>
  <si>
    <t>EXPORT_FOLDER</t>
  </si>
  <si>
    <t>Export folder</t>
  </si>
  <si>
    <t>Optional. Leave blank to export beside the workbook (the default). If set, the folder must already exist on this computer - there is no Browse button, because Application.FileDialog does not exist on Mac.</t>
  </si>
  <si>
    <t>LOC_REDUCED_VIEW</t>
  </si>
  <si>
    <t>LOC_REDUCED_COLUMNS</t>
  </si>
  <si>
    <t>Reduced view - hidden columns</t>
  </si>
  <si>
    <t>COST_COLS_HIDDEN</t>
  </si>
  <si>
    <t>Hide cost detail columns</t>
  </si>
  <si>
    <t>Yes hides Paper Cost/Consumable Cost/Gross Cost/Disregarded on every location sheet (toggled by the button on each one). No shows them. Chargeable Cost and Paid are never hidden by this.</t>
  </si>
  <si>
    <t>Std. size</t>
  </si>
  <si>
    <t>Max roll width mm</t>
  </si>
  <si>
    <t>Max sheet size</t>
  </si>
  <si>
    <t>Max roll width mm / Max sheet size set what each printer can take - blank means it cannot print that kind of stock at all. A paper stock can only be used on a printer whose capacity it fits within.</t>
  </si>
  <si>
    <t>Supplied by student</t>
  </si>
  <si>
    <t>Paid</t>
  </si>
  <si>
    <t>Qty</t>
  </si>
  <si>
    <t>Default: technician</t>
  </si>
  <si>
    <t>Default: printer</t>
  </si>
  <si>
    <t>Default: paper</t>
  </si>
  <si>
    <t>Roll length unit</t>
  </si>
  <si>
    <t>Metres</t>
  </si>
  <si>
    <t>Printers at this location</t>
  </si>
  <si>
    <t>Print jobs</t>
  </si>
  <si>
    <t>Sheet size</t>
  </si>
  <si>
    <t>Export</t>
  </si>
  <si>
    <t>12 print jobs - never exported.</t>
  </si>
  <si>
    <t>Adam Shailer</t>
  </si>
  <si>
    <t>TECH_ID_HWM</t>
  </si>
  <si>
    <t>Last technician ID number</t>
  </si>
  <si>
    <t>Read-only. The highest TechID number issued at this site. Only ever rises, so an ID is never reused.</t>
  </si>
  <si>
    <t>PRINTER_ID_HWM</t>
  </si>
  <si>
    <t>Last printer ID number</t>
  </si>
  <si>
    <t>Read-only. The highest PrinterID number issued at this site. Only ever rises, so an ID is never reused.</t>
  </si>
  <si>
    <t>STOCK_ID_HWM</t>
  </si>
  <si>
    <t>Last paper ID number</t>
  </si>
  <si>
    <t>Read-only. The highest StockID number issued at this site. Only ever rises, so an ID is never reused.</t>
  </si>
  <si>
    <t>0.10.21</t>
  </si>
  <si>
    <t>Location column view</t>
  </si>
  <si>
    <t>Which columns location sheets show: All, Reduced or Minimal. Set by the Show columns drop-down on each location sheet; applies to every location.</t>
  </si>
  <si>
    <t>All</t>
  </si>
  <si>
    <t>Semicolon-separated column headers hidden by the Reduced view. Edit to change what it hides - no rebuild needed. Minimal hides these as well.</t>
  </si>
  <si>
    <t>LOC_MINIMAL_COLUMNS</t>
  </si>
  <si>
    <t>Minimal view - extra hidden columns</t>
  </si>
  <si>
    <t>Semicolon-separated column headers the Minimal view hides IN ADDITION to the Reduced list above (Minimal always includes Reduced). Edit to change - no rebuild needed.</t>
  </si>
  <si>
    <t>Printer;Disregard Paper;Disregard Consumable;Print Width mm;Sheet size</t>
  </si>
  <si>
    <t>REPORT_HEADING</t>
  </si>
  <si>
    <t>Report heading</t>
  </si>
  <si>
    <t>The heading printed at the top of an exported Reports report. Leave blank for 'Print job report'.</t>
  </si>
  <si>
    <t>Print job report</t>
  </si>
  <si>
    <t>UNI-TCH-0001</t>
  </si>
  <si>
    <t>UNI-TCH-0002</t>
  </si>
  <si>
    <t>UNI-TCH-0003</t>
  </si>
  <si>
    <t>UNI-PRN-0001</t>
  </si>
  <si>
    <t>UNI-PRN-0002</t>
  </si>
  <si>
    <t>UNI-PRN-0003</t>
  </si>
  <si>
    <t>UNI-PRN-0004</t>
  </si>
  <si>
    <t>UNI-STK-0001</t>
  </si>
  <si>
    <t>UNI-STK-0002</t>
  </si>
  <si>
    <t>UNI-STK-0003</t>
  </si>
  <si>
    <t>UNI-STK-0004</t>
  </si>
  <si>
    <t>UNI-STK-0005</t>
  </si>
  <si>
    <t>UNI-STK-0006</t>
  </si>
  <si>
    <t>UNI-STK-0007</t>
  </si>
  <si>
    <t>UNI-STK-0008</t>
  </si>
  <si>
    <t>UNI-STK-0009</t>
  </si>
  <si>
    <t>Passes</t>
  </si>
  <si>
    <t>Colour</t>
  </si>
  <si>
    <t>Set-up Cost</t>
  </si>
  <si>
    <t>Row Type</t>
  </si>
  <si>
    <t>Parent</t>
  </si>
  <si>
    <t>Pass</t>
  </si>
  <si>
    <t>H_Ink</t>
  </si>
  <si>
    <t>H_Setup</t>
  </si>
  <si>
    <t>H_Notices</t>
  </si>
  <si>
    <t>S_SetupCost</t>
  </si>
  <si>
    <t>S_ColourID</t>
  </si>
  <si>
    <t>Job</t>
  </si>
  <si>
    <t>Colour mode</t>
  </si>
  <si>
    <t>Template cost</t>
  </si>
  <si>
    <t>single pass</t>
  </si>
  <si>
    <t>Risograph</t>
  </si>
  <si>
    <t>MULTIPASS_COLS_HIDDEN</t>
  </si>
  <si>
    <t>Hide multi-pass columns</t>
  </si>
  <si>
    <t>Yes hides the multi-pass columns (Passes, Colour, Row Type, Parent, Pass) on every location sheet (toggled by the button on each one). No shows them. The Set-up Cost column belongs to the cost detail setting instead.</t>
  </si>
  <si>
    <t>Status;Job ID;Area m2;S_SchemaVer</t>
  </si>
  <si>
    <t>EXAMPLE</t>
  </si>
  <si>
    <t>UNI-EXAMPLE-00001</t>
  </si>
  <si>
    <t>UNI-EXAMPLE-00002</t>
  </si>
  <si>
    <t>UNI-EXAMPLE-00003</t>
  </si>
  <si>
    <t>UNI-EXAMPLE-00004</t>
  </si>
  <si>
    <t>UNI-EXAMPLE-00005</t>
  </si>
  <si>
    <t>UNI-EXAMPLE-00006</t>
  </si>
  <si>
    <t>UNI-EXAMPLE-00007</t>
  </si>
  <si>
    <t>UNI-EXAMPLE-00008</t>
  </si>
  <si>
    <t>UNI-EXAMPLE-00009</t>
  </si>
  <si>
    <t>UNI-EXAMPLE-00010</t>
  </si>
  <si>
    <t>UNI-EXAMPLE-00011</t>
  </si>
  <si>
    <t>UNI-EXAMPLE-00012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</si>
</sst>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00"/>
    <numFmt numFmtId="165" formatCode="\£#,##0.00"/>
    <numFmt numFmtId="166" formatCode="#,##0.###"/>
    <numFmt numFmtId="167" formatCode="#,##0.000"/>
  </numFmts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sz val="11"/>
      <color rgb="FF2F559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595959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B00020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2E64A8"/>
      </left>
      <right/>
      <top style="thin">
        <color rgb="FFBFBFBF"/>
      </top>
      <bottom/>
      <diagonal/>
    </border>
    <border>
      <left style="medium">
        <color rgb="FF2E64A8"/>
      </left>
      <right/>
      <top/>
      <bottom/>
      <diagonal/>
    </border>
    <border>
      <left style="medium">
        <color rgb="FF2E64A8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64A8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0" fillId="4" borderId="1" xfId="0" applyFill="1" applyBorder="1" applyAlignment="1" applyProtection="1">
      <alignment vertical="center"/>
      <protection locked="0"/>
    </xf>
    <xf numFmtId="3" fontId="0" fillId="0" borderId="2" xfId="0" applyNumberFormat="1" applyBorder="1" applyAlignment="1" applyProtection="1">
      <alignment horizontal="right" vertical="center"/>
      <protection locked="0"/>
    </xf>
    <xf numFmtId="0" fontId="7" fillId="3" borderId="0" xfId="0" applyFont="1" applyFill="1" applyAlignment="1">
      <alignment vertical="center"/>
    </xf>
    <xf numFmtId="165" fontId="0" fillId="0" borderId="2" xfId="0" applyNumberFormat="1" applyBorder="1" applyAlignment="1" applyProtection="1">
      <alignment horizontal="right" vertical="center"/>
      <protection locked="0"/>
    </xf>
    <xf numFmtId="22" fontId="0" fillId="0" borderId="2" xfId="0" applyNumberForma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66" fontId="0" fillId="0" borderId="2" xfId="0" applyNumberFormat="1" applyBorder="1" applyAlignment="1" applyProtection="1">
      <alignment horizontal="right" vertical="center"/>
      <protection locked="0"/>
    </xf>
    <xf numFmtId="167" fontId="7" fillId="3" borderId="0" xfId="0" applyNumberFormat="1" applyFont="1" applyFill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8" fillId="5" borderId="0" xfId="0" applyFont="1" applyFill="1"/>
    <xf numFmtId="164" fontId="8" fillId="5" borderId="0" xfId="0" applyNumberFormat="1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 applyAlignment="1" applyProtection="1">
      <alignment vertical="center"/>
      <protection locked="0"/>
    </xf>
    <xf numFmtId="167" fontId="7" fillId="3" borderId="0" xfId="0" applyNumberFormat="1" applyFont="1" applyFill="1" applyAlignment="1" applyProtection="1">
      <alignment horizontal="right" vertical="center"/>
      <protection locked="0"/>
    </xf>
    <xf numFmtId="0" fontId="4" fillId="2" borderId="0" xfId="0" applyFont="1" applyFill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0" xfId="0" applyProtection="1">
      <protection locked="0"/>
    </xf>
    <xf numFmtId="0" fontId="0" fillId="6" borderId="6" xfId="0" applyFill="1" applyBorder="1" applyProtection="1">
      <protection locked="0"/>
    </xf>
    <xf numFmtId="0" fontId="5" fillId="3" borderId="0" xfId="0" applyFont="1" applyFill="1" applyAlignment="1">
      <alignment vertical="center" wrapText="1"/>
    </xf>
    <xf numFmtId="0" fontId="9" fillId="0" borderId="0" xfId="0" applyFont="1" applyAlignment="1">
      <alignment horizontal="right"/>
    </xf>
    <xf numFmtId="0" fontId="12" fillId="0" borderId="0" xfId="0" applyFont="1"/>
    <xf numFmtId="0" fontId="5" fillId="0" borderId="0" xfId="0" applyFont="1" applyAlignment="1">
      <alignment vertical="center"/>
    </xf>
    <xf numFmtId="0" fontId="5" fillId="3" borderId="0" xfId="0" applyFont="1" applyFill="1" applyAlignment="1" applyProtection="1">
      <alignment vertical="center"/>
      <protection locked="0"/>
    </xf>
    <xf numFmtId="0" fontId="0" fillId="4" borderId="4" xfId="0" applyFill="1" applyBorder="1" applyAlignment="1" applyProtection="1">
      <alignment vertical="center"/>
      <protection locked="0"/>
    </xf>
    <xf numFmtId="0" fontId="5" fillId="6" borderId="5" xfId="0" applyFont="1" applyFill="1" applyBorder="1" applyAlignment="1" applyProtection="1">
      <alignment vertical="center"/>
      <protection locked="0"/>
    </xf>
    <xf numFmtId="0" fontId="0" fillId="6" borderId="7" xfId="0" applyFill="1" applyBorder="1" applyAlignment="1" applyProtection="1">
      <alignment vertical="center"/>
      <protection locked="0"/>
    </xf>
    <xf numFmtId="165" fontId="7" fillId="6" borderId="5" xfId="0" applyNumberFormat="1" applyFont="1" applyFill="1" applyBorder="1" applyAlignment="1" applyProtection="1">
      <alignment horizontal="right" vertical="center"/>
      <protection locked="0"/>
    </xf>
    <xf numFmtId="165" fontId="7" fillId="6" borderId="6" xfId="0" applyNumberFormat="1" applyFont="1" applyFill="1" applyBorder="1" applyAlignment="1" applyProtection="1">
      <alignment horizontal="right" vertical="center"/>
      <protection locked="0"/>
    </xf>
    <xf numFmtId="3" fontId="0" fillId="0" borderId="3" xfId="0" applyNumberFormat="1" applyBorder="1" applyAlignment="1" applyProtection="1">
      <alignment horizontal="right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3" fontId="0" fillId="0" borderId="8" xfId="0" applyNumberFormat="1" applyBorder="1" applyAlignment="1" applyProtection="1">
      <alignment vertical="center"/>
      <protection locked="0"/>
    </xf>
    <xf numFmtId="3" fontId="0" fillId="6" borderId="9" xfId="0" applyNumberFormat="1" applyFill="1" applyBorder="1" applyAlignment="1" applyProtection="1">
      <alignment horizontal="right" vertical="center"/>
      <protection locked="0"/>
    </xf>
    <xf numFmtId="0" fontId="0" fillId="4" borderId="1" xfId="0" applyFill="1" applyBorder="1" applyAlignment="1">
      <alignment vertical="center"/>
    </xf>
    <xf numFmtId="14" fontId="4" fillId="2" borderId="0" xfId="0" applyNumberFormat="1" applyFont="1" applyFill="1" applyAlignment="1">
      <alignment vertical="center" wrapText="1"/>
    </xf>
    <xf numFmtId="0" fontId="13" fillId="0" borderId="0" xfId="0" applyFont="1"/>
    <xf numFmtId="22" fontId="0" fillId="4" borderId="1" xfId="0" applyNumberFormat="1" applyFill="1" applyBorder="1" applyAlignment="1">
      <alignment vertical="center"/>
    </xf>
    <xf numFmtId="165" fontId="0" fillId="0" borderId="3" xfId="0" applyNumberFormat="1" applyBorder="1" applyAlignment="1" applyProtection="1">
      <alignment horizontal="right" vertical="center"/>
      <protection locked="0"/>
    </xf>
    <xf numFmtId="3" fontId="0" fillId="6" borderId="5" xfId="0" applyNumberFormat="1" applyFill="1" applyBorder="1" applyAlignment="1" applyProtection="1">
      <alignment horizontal="right" vertical="center"/>
      <protection locked="0"/>
    </xf>
    <xf numFmtId="3" fontId="0" fillId="6" borderId="6" xfId="0" applyNumberFormat="1" applyFill="1" applyBorder="1" applyAlignment="1" applyProtection="1">
      <alignment horizontal="right" vertical="center"/>
      <protection locked="0"/>
    </xf>
    <xf numFmtId="0" fontId="0" fillId="6" borderId="6" xfId="0" applyFill="1" applyBorder="1" applyAlignment="1" applyProtection="1">
      <alignment horizontal="right" vertical="center"/>
      <protection locked="0"/>
    </xf>
    <xf numFmtId="0" fontId="0" fillId="4" borderId="10" xfId="0" applyFill="1" applyBorder="1" applyAlignment="1" applyProtection="1">
      <alignment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90">
    <dxf>
      <fill>
        <patternFill>
          <bgColor rgb="FFFFC000"/>
        </patternFill>
      </fill>
    </dxf>
    <dxf>
      <numFmt numFmtId="19" formatCode="dd/mm/yyyy"/>
    </dxf>
    <dxf>
      <numFmt numFmtId="19" formatCode="dd/mm/yyyy"/>
    </dxf>
    <dxf>
      <fill>
        <patternFill patternType="solid">
          <fgColor indexed="64"/>
          <bgColor rgb="FFFFFFFF"/>
        </patternFill>
      </fill>
      <border diagonalUp="0" diagonalDown="0" outline="0">
        <left style="medium">
          <color rgb="FF2E64A8"/>
        </left>
        <right/>
        <top/>
        <bottom/>
      </border>
      <protection locked="0" hidden="0"/>
    </dxf>
    <dxf>
      <protection locked="0" hidden="0"/>
    </dxf>
    <dxf>
      <font>
        <i/>
        <color rgb="FF595959"/>
      </font>
      <fill>
        <patternFill>
          <bgColor rgb="FFF2F2F2"/>
        </patternFill>
      </fill>
      <protection locked="0" hidden="0"/>
    </dxf>
    <dxf>
      <numFmt numFmtId="165" formatCode="\£#,##0.00"/>
      <border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numFmt numFmtId="3" formatCode="#,##0"/>
      <border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numFmt numFmtId="3" formatCode="#,##0"/>
      <border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808080"/>
      </font>
      <fill>
        <patternFill>
          <bgColor rgb="FFF2F2F2"/>
        </patternFill>
      </fill>
      <protection locked="0" hidden="0"/>
    </dxf>
    <dxf>
      <protection locked="0" hidden="0"/>
    </dxf>
    <dxf>
      <protection locked="0" hidden="0"/>
    </dxf>
    <dxf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2E64A8"/>
        </left>
        <right/>
        <top/>
        <bottom/>
      </border>
      <protection locked="0" hidden="0"/>
    </dxf>
    <dxf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rgb="FF2E64A8"/>
        </left>
        <right/>
        <top/>
        <bottom/>
      </border>
      <protection locked="0" hidden="0"/>
    </dxf>
    <dxf>
      <numFmt numFmtId="165" formatCode="\£#,##0.00"/>
      <alignment horizontal="right" vertical="center" textRotation="0" wrapText="0" indent="0" justifyLastLine="0" shrinkToFit="0" readingOrder="0"/>
      <border diagonalUp="0" diagonalDown="0">
        <left style="medium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numFmt numFmtId="165" formatCode="\£#,##0.00"/>
      <alignment horizontal="right" vertical="center" textRotation="0" wrapText="0" indent="0" justifyLastLine="0" shrinkToFit="0" readingOrder="0"/>
      <protection locked="0" hidden="0"/>
    </dxf>
    <dxf>
      <numFmt numFmtId="165" formatCode="\£#,##0.00"/>
      <border outline="0">
        <left style="medium">
          <color rgb="FFBFBFBF"/>
        </left>
        <right/>
        <top style="thin">
          <color rgb="FFBFBFBF"/>
        </top>
        <bottom style="thin">
          <color rgb="FFBFBFBF"/>
        </bottom>
      </border>
      <protection locked="0" hidden="0"/>
    </dxf>
    <dxf>
      <protection locked="0" hidden="0"/>
    </dxf>
    <dxf>
      <protection locked="0" hidden="0"/>
    </dxf>
    <dxf>
      <font>
        <color rgb="FF808080"/>
      </font>
      <fill>
        <patternFill>
          <bgColor rgb="FFF2F2F2"/>
        </patternFill>
      </fill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808080"/>
      </font>
      <fill>
        <patternFill>
          <bgColor rgb="FFF2F2F2"/>
        </patternFill>
      </fill>
      <protection locked="0" hidden="0"/>
    </dxf>
    <dxf>
      <protection locked="0" hidden="0"/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family val="2"/>
        <scheme val="minor"/>
      </font>
      <numFmt numFmtId="164" formatCode="\£#,##0.0000"/>
      <fill>
        <patternFill patternType="solid">
          <fgColor indexed="64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family val="2"/>
        <scheme val="minor"/>
      </font>
      <numFmt numFmtId="164" formatCode="\£#,##0.0000"/>
      <fill>
        <patternFill patternType="solid">
          <fgColor indexed="64"/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numFmt numFmtId="164" formatCode="\£#,##0.0000"/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family val="2"/>
        <scheme val="minor"/>
      </font>
      <fill>
        <patternFill patternType="solid">
          <fgColor indexed="64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family val="2"/>
        <scheme val="minor"/>
      </font>
      <fill>
        <patternFill patternType="solid">
          <fgColor indexed="64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08080"/>
        <name val="Calibri"/>
        <family val="2"/>
        <scheme val="minor"/>
      </font>
      <fill>
        <patternFill patternType="solid">
          <fgColor indexed="64"/>
          <bgColor rgb="FFD9D9D9"/>
        </patternFill>
      </fill>
    </dxf>
    <dxf>
      <font>
        <color rgb="FF808080"/>
      </font>
      <fill>
        <patternFill>
          <bgColor rgb="FFD9D9D9"/>
        </patternFill>
      </fill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scheme val="minor"/>
      </font>
      <numFmt numFmtId="1" formatCode="0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outline="0">
        <right style="medium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08080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</dxf>
    <dxf>
      <font>
        <color rgb="FF808080"/>
      </font>
      <fill>
        <patternFill>
          <bgColor rgb="FFF2F2F2"/>
        </patternFill>
      </fill>
    </dxf>
    <dxf>
      <font>
        <i/>
        <color rgb="FF595959"/>
      </font>
      <fill>
        <patternFill>
          <bgColor rgb="FFF2F2F2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595959"/>
        <name val="Calibri"/>
        <family val="2"/>
        <scheme val="minor"/>
      </font>
      <numFmt numFmtId="165" formatCode="\£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2E64A8"/>
        </left>
        <right/>
        <top/>
        <bottom/>
        <vertical/>
        <horizontal/>
      </border>
      <protection locked="0" hidden="0"/>
    </dxf>
    <dxf>
      <font>
        <i/>
        <color rgb="FF595959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i/>
        <color rgb="FF595959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i/>
        <color rgb="FF595959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595959"/>
        <name val="Calibri"/>
        <family val="2"/>
        <scheme val="minor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i/>
        <color rgb="FF595959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i/>
        <color rgb="FF595959"/>
      </font>
      <numFmt numFmtId="165" formatCode="\£#,##0.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</dxf>
    <dxf>
      <font>
        <i/>
        <color rgb="FF595959"/>
      </font>
      <numFmt numFmtId="167" formatCode="#,##0.000"/>
      <fill>
        <patternFill patternType="solid">
          <fgColor indexed="64"/>
          <bgColor rgb="FFF2F2F2"/>
        </patternFill>
      </fill>
      <alignment horizontal="right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numFmt numFmtId="3" formatCode="#,##0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2E64A8"/>
        </left>
        <right style="medium">
          <color rgb="FFBFBFBF"/>
        </right>
        <top style="thin">
          <color rgb="FFBFBFBF"/>
        </top>
        <bottom style="thin">
          <color rgb="FFBFBFBF"/>
        </bottom>
        <vertical/>
        <horizontal style="thin">
          <color rgb="FFBFBFBF"/>
        </horizontal>
      </border>
      <protection locked="0" hidden="0"/>
    </dxf>
    <dxf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medium">
          <color rgb="FFBFBFBF"/>
        </left>
        <right/>
        <top style="thin">
          <color rgb="FFBFBFBF"/>
        </top>
        <bottom style="thin">
          <color rgb="FFBFBFBF"/>
        </bottom>
      </border>
      <protection locked="0" hidden="0"/>
    </dxf>
    <dxf>
      <numFmt numFmtId="166" formatCode="#,##0.###"/>
      <alignment horizontal="right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i/>
        <color rgb="FF595959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numFmt numFmtId="166" formatCode="#,##0.###"/>
      <alignment horizontal="general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alignment horizontal="general" vertical="center" textRotation="0" wrapText="0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numFmt numFmtId="27" formatCode="dd/mm/yyyy\ hh:mm"/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numFmt numFmtId="27" formatCode="dd/mm/yyyy\ hh:mm"/>
      <alignment horizontal="general" vertical="center" textRotation="0" wrapText="0" indent="0" justifyLastLine="0" shrinkToFit="0" readingOrder="0"/>
      <border diagonalUp="0" diagonalDown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protection locked="0" hidden="0"/>
    </dxf>
    <dxf>
      <protection locked="0" hidden="0"/>
    </dxf>
    <dxf>
      <protection locked="0" hidden="0"/>
    </dxf>
    <dxf>
      <numFmt numFmtId="3" formatCode="#,##0"/>
      <border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numFmt numFmtId="3" formatCode="#,##0"/>
      <border outline="0">
        <left style="medium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808080"/>
      </font>
      <fill>
        <patternFill>
          <bgColor rgb="FFF2F2F2"/>
        </patternFill>
      </fill>
      <alignment horizontal="general" vertical="center" textRotation="0" wrapText="1" indent="0" justifyLastLine="0" shrinkToFit="0" readingOrder="0"/>
    </dxf>
    <dxf>
      <fill>
        <patternFill>
          <bgColor rgb="FFDEEAF6"/>
        </patternFill>
      </fill>
      <border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  <color rgb="FF595959"/>
      </font>
    </dxf>
    <dxf>
      <font>
        <color rgb="FF808080"/>
      </font>
      <fill>
        <patternFill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Jobs_EXAMPLE" displayName="tblJobs_EXAMPLE" ref="A17:AS29" totalsRowShown="0">
  <autoFilter ref="A17:AS29" xr:uid="{00000000-0009-0000-0100-00000B000000}"/>
  <tableColumns count="45">
    <tableColumn id="3" xr3:uid="{00000000-0010-0000-0A00-000003000000}" name="Date/Time" dataDxfId="75"/>
    <tableColumn id="4" xr3:uid="{00000000-0010-0000-0A00-000004000000}" name="Student Name" dataDxfId="74"/>
    <tableColumn id="5" xr3:uid="{00000000-0010-0000-0A00-000005000000}" name="Student No" dataDxfId="73"/>
    <tableColumn id="6" xr3:uid="{00000000-0010-0000-0A00-000006000000}" name="Technician" dataDxfId="72"/>
    <tableColumn id="7" xr3:uid="{00000000-0010-0000-0A00-000007000000}" name="Printer" dataDxfId="71"/>
    <tableColumn id="25" xr3:uid="{09F3ECAE-609E-455B-9BA8-2E241E8FAF46}" name="Passes" dataDxfId="70">
      <calculatedColumnFormula>IF(tblJobs_EXAMPLE[[#This Row],[Row Type]]="Pass","",IF(tblJobs_EXAMPLE[[#This Row],[Job ID]]="","",IF(COUNTIFS(tblJobs_EXAMPLE[Parent],tblJobs_EXAMPLE[[#This Row],[Job ID]])=0,"",COUNTIFS(tblJobs_EXAMPLE[Parent],tblJobs_EXAMPLE[[#This Row],[Job ID]]))))</calculatedColumnFormula>
    </tableColumn>
    <tableColumn id="36" xr3:uid="{3444712F-EA34-42DA-B9B5-0EBBE8952B8B}" name="Colour" dataDxfId="69"/>
    <tableColumn id="8" xr3:uid="{00000000-0010-0000-0A00-000008000000}" name="Paper Stock" dataDxfId="68"/>
    <tableColumn id="9" xr3:uid="{00000000-0010-0000-0A00-000009000000}" name="Unit" dataDxfId="67">
      <calculatedColumnFormula>IF(tblJobs_EXAMPLE[[#This Row],[S_Measure]]="","",IF(tblJobs_EXAMPLE[[#This Row],[S_Measure]]="Sheet","sheets",IF(LOC_RollUnit="Centimetres","cm","metres")))</calculatedColumnFormula>
    </tableColumn>
    <tableColumn id="10" xr3:uid="{00000000-0010-0000-0A00-00000A000000}" name="Qty" dataDxfId="66"/>
    <tableColumn id="11" xr3:uid="{00000000-0010-0000-0A00-00000B000000}" name="Print Width mm" dataDxfId="65"/>
    <tableColumn id="35" xr3:uid="{E6BF4E83-281D-4CCB-8342-85AB57046527}" name="Sheet size" dataDxfId="64"/>
    <tableColumn id="12" xr3:uid="{00000000-0010-0000-0A00-00000C000000}" name="Disregard Paper" dataDxfId="63"/>
    <tableColumn id="13" xr3:uid="{00000000-0010-0000-0A00-00000D000000}" name="Disregard Consumable" dataDxfId="62"/>
    <tableColumn id="14" xr3:uid="{00000000-0010-0000-0A00-00000E000000}" name="Area m2" dataDxfId="61">
      <calculatedColumnFormula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calculatedColumnFormula>
    </tableColumn>
    <tableColumn id="15" xr3:uid="{00000000-0010-0000-0A00-00000F000000}" name="Paper Cost" dataDxfId="60">
      <calculatedColumnFormula>IF(tblJobs_EXAMPLE[[#This Row],[Qty]]="","",ROUND(tblJobs_EXAMPLE[[#This Row],[Qty]]/IF(tblJobs_EXAMPLE[[#This Row],[Unit]]="cm",100,1)*tblJobs_EXAMPLE[[#This Row],[S_UnitCost]],SET_ROUND_DP))</calculatedColumnFormula>
    </tableColumn>
    <tableColumn id="16" xr3:uid="{00000000-0010-0000-0A00-000010000000}" name="Consumable Cost" dataDxfId="59">
      <calculatedColumnFormula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calculatedColumnFormula>
    </tableColumn>
    <tableColumn id="37" xr3:uid="{9D5B92B2-8D8C-4AB8-B4C8-729D5FEC16B3}" name="Set-up Cost" dataDxfId="58">
      <calculatedColumnFormula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calculatedColumnFormula>
    </tableColumn>
    <tableColumn id="17" xr3:uid="{00000000-0010-0000-0A00-000011000000}" name="Gross Cost" dataDxfId="57">
      <calculatedColumnFormula>IF(tblJobs_EXAMPLE[[#This Row],[Paper Cost]]="","",tblJobs_EXAMPLE[[#This Row],[Paper Cost]]+tblJobs_EXAMPLE[[#This Row],[Consumable Cost]]+N(tblJobs_EXAMPLE[[#This Row],[Set-up Cost]]))</calculatedColumnFormula>
    </tableColumn>
    <tableColumn id="18" xr3:uid="{00000000-0010-0000-0A00-000012000000}" name="Disregarded" dataDxfId="56">
      <calculatedColumnFormula>IF(tblJobs_EXAMPLE[[#This Row],[Gross Cost]]="","",tblJobs_EXAMPLE[[#This Row],[Gross Cost]]-tblJobs_EXAMPLE[[#This Row],[Chargeable Cost]])</calculatedColumnFormula>
    </tableColumn>
    <tableColumn id="19" xr3:uid="{00000000-0010-0000-0A00-000013000000}" name="Chargeable Cost" dataDxfId="55">
      <calculatedColumnFormula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calculatedColumnFormula>
    </tableColumn>
    <tableColumn id="34" xr3:uid="{9C12E379-305A-4AA1-8D70-0BFC2C6CF3C5}" name="Paid" dataDxfId="54"/>
    <tableColumn id="1" xr3:uid="{00000000-0010-0000-0A00-000001000000}" name="Status" dataDxfId="53">
      <calculatedColumnFormula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calculatedColumnFormula>
    </tableColumn>
    <tableColumn id="2" xr3:uid="{00000000-0010-0000-0A00-000002000000}" name="Job ID" dataDxfId="52"/>
    <tableColumn id="38" xr3:uid="{4D2F43D5-36A3-4912-BABA-E130C7C2146E}" name="Row Type" dataDxfId="51"/>
    <tableColumn id="39" xr3:uid="{5A1BB7C9-ECFF-4CC8-8500-3A293A25528C}" name="Parent" dataDxfId="50"/>
    <tableColumn id="40" xr3:uid="{3E507CE4-6A67-46A5-BB60-7B729C2D5A26}" name="Pass" dataDxfId="49"/>
    <tableColumn id="20" xr3:uid="{00000000-0010-0000-0A00-000014000000}" name="Notes" dataDxfId="48"/>
    <tableColumn id="21" xr3:uid="{00000000-0010-0000-0A00-000015000000}" name="H_Issues" dataDxfId="47">
      <calculatedColumnFormula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calculatedColumnFormula>
    </tableColumn>
    <tableColumn id="41" xr3:uid="{82AE4E46-EF17-494F-A090-ADA99BEE4E30}" name="H_Ink" dataDxfId="46">
      <calculatedColumnFormula>IF(tblJobs_EXAMPLE[[#This Row],[Row Type]]&lt;&gt;"Pass","",IFERROR(ROUND(_xlfn.XLOOKUP(tblJobs_EXAMPLE[[#This Row],[Parent]],tblJobs_EXAMPLE[Job ID],tblJobs_EXAMPLE[Area m2])*N(tblJobs_EXAMPLE[[#This Row],[S_ConsRate]]),SET_ROUND_DP),0))</calculatedColumnFormula>
    </tableColumn>
    <tableColumn id="42" xr3:uid="{7A8AEB6A-0F1F-4F77-9521-2D3285156496}" name="H_Setup" dataDxfId="45">
      <calculatedColumnFormula>IF(tblJobs_EXAMPLE[[#This Row],[Row Type]]&lt;&gt;"Pass","",N(tblJobs_EXAMPLE[[#This Row],[S_SetupCost]]))</calculatedColumnFormula>
    </tableColumn>
    <tableColumn id="43" xr3:uid="{4F21AC66-121A-48B2-991A-1B25B7F679A0}" name="H_Notices" dataDxfId="44"/>
    <tableColumn id="22" xr3:uid="{00000000-0010-0000-0A00-000016000000}" name="S_PrinterID" dataDxfId="43"/>
    <tableColumn id="23" xr3:uid="{00000000-0010-0000-0A00-000017000000}" name="S_StockID" dataDxfId="42"/>
    <tableColumn id="24" xr3:uid="{00000000-0010-0000-0A00-000018000000}" name="S_TechID" dataDxfId="41"/>
    <tableColumn id="26" xr3:uid="{00000000-0010-0000-0A00-00001A000000}" name="S_Measure" dataDxfId="40"/>
    <tableColumn id="27" xr3:uid="{00000000-0010-0000-0A00-00001B000000}" name="S_UnitCost" dataDxfId="39"/>
    <tableColumn id="28" xr3:uid="{00000000-0010-0000-0A00-00001C000000}" name="S_StockWidth_mm" dataDxfId="38"/>
    <tableColumn id="29" xr3:uid="{00000000-0010-0000-0A00-00001D000000}" name="S_SheetHeight_mm" dataDxfId="37"/>
    <tableColumn id="30" xr3:uid="{00000000-0010-0000-0A00-00001E000000}" name="S_ConsRate" dataDxfId="36"/>
    <tableColumn id="44" xr3:uid="{473158C1-5A71-4BCD-9231-D8A93A8E6E06}" name="S_SetupCost" dataDxfId="35"/>
    <tableColumn id="45" xr3:uid="{AE04C717-F979-427D-9DE7-1B4ED6904D05}" name="S_ColourID" dataDxfId="34"/>
    <tableColumn id="31" xr3:uid="{00000000-0010-0000-0A00-00001F000000}" name="S_StampedAt" dataDxfId="33"/>
    <tableColumn id="32" xr3:uid="{00000000-0010-0000-0A00-000020000000}" name="S_StampedBy" dataDxfId="32"/>
    <tableColumn id="33" xr3:uid="{00000000-0010-0000-0A00-000021000000}" name="S_SchemaVer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Technicians" displayName="tblTechnicians" ref="A6:D9" totalsRowShown="0" dataDxfId="30">
  <autoFilter ref="A6:D9" xr:uid="{00000000-0009-0000-0100-000006000000}"/>
  <tableColumns count="4">
    <tableColumn id="1" xr3:uid="{00000000-0010-0000-0500-000001000000}" name="TechID" dataDxfId="29"/>
    <tableColumn id="2" xr3:uid="{00000000-0010-0000-0500-000002000000}" name="Name" dataDxfId="28"/>
    <tableColumn id="3" xr3:uid="{00000000-0010-0000-0500-000003000000}" name="Department" dataDxfId="27"/>
    <tableColumn id="4" xr3:uid="{00000000-0010-0000-0500-000004000000}" name="Active" dataDxfId="2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rinters" displayName="tblPrinters" ref="A6:I10" totalsRowShown="0" dataDxfId="25">
  <autoFilter ref="A6:I10" xr:uid="{00000000-0009-0000-0100-000007000000}"/>
  <tableColumns count="9">
    <tableColumn id="1" xr3:uid="{00000000-0010-0000-0600-000001000000}" name="PrinterID" dataDxfId="24"/>
    <tableColumn id="2" xr3:uid="{00000000-0010-0000-0600-000002000000}" name="Model" dataDxfId="23"/>
    <tableColumn id="3" xr3:uid="{00000000-0010-0000-0600-000003000000}" name="Consumable type" dataDxfId="22"/>
    <tableColumn id="4" xr3:uid="{00000000-0010-0000-0600-000004000000}" name="Cost per m2" dataDxfId="21"/>
    <tableColumn id="5" xr3:uid="{15CEC00B-A782-4C1F-9D8C-FC4996A5205D}" name="Colour mode" dataDxfId="20"/>
    <tableColumn id="9" xr3:uid="{59F8E22B-28C7-46F1-991A-38D5C4091FF4}" name="Template cost" dataDxfId="19"/>
    <tableColumn id="7" xr3:uid="{27EBC752-1CF1-48B9-B798-05BFAB38AF84}" name="Max roll width mm" dataDxfId="18"/>
    <tableColumn id="8" xr3:uid="{78D66AB2-9A7B-410A-92C1-2CCFD2C22414}" name="Max sheet size" dataDxfId="17"/>
    <tableColumn id="6" xr3:uid="{00000000-0010-0000-0600-000006000000}" name="Active" dataDxfId="1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apers" displayName="tblPapers" ref="A6:L15" totalsRowShown="0" dataDxfId="15">
  <autoFilter ref="A6:L15" xr:uid="{00000000-0009-0000-0100-000008000000}"/>
  <tableColumns count="12">
    <tableColumn id="1" xr3:uid="{00000000-0010-0000-0700-000001000000}" name="StockID" dataDxfId="14"/>
    <tableColumn id="2" xr3:uid="{00000000-0010-0000-0700-000002000000}" name="Description" dataDxfId="13"/>
    <tableColumn id="3" xr3:uid="{00000000-0010-0000-0700-000003000000}" name="Paper type" dataDxfId="12"/>
    <tableColumn id="4" xr3:uid="{00000000-0010-0000-0700-000004000000}" name="Measure" dataDxfId="11"/>
    <tableColumn id="6" xr3:uid="{00000000-0010-0000-0700-000006000000}" name="Size mode" dataDxfId="10"/>
    <tableColumn id="7" xr3:uid="{00000000-0010-0000-0700-000007000000}" name="Std. size" dataDxfId="9"/>
    <tableColumn id="8" xr3:uid="{00000000-0010-0000-0700-000008000000}" name="Width mm" dataDxfId="8"/>
    <tableColumn id="9" xr3:uid="{00000000-0010-0000-0700-000009000000}" name="Height mm" dataDxfId="7"/>
    <tableColumn id="10" xr3:uid="{00000000-0010-0000-0700-00000A000000}" name="Cost" dataDxfId="6"/>
    <tableColumn id="11" xr3:uid="{00000000-0010-0000-0700-00000B000000}" name="Cost unit" dataDxfId="5">
      <calculatedColumnFormula>IF(tblPapers[[#This Row],[Measure]]="","",IF(tblPapers[[#This Row],[Measure]]="Sheet","£ per sheet","£ per metre"))</calculatedColumnFormula>
    </tableColumn>
    <tableColumn id="12" xr3:uid="{00000000-0010-0000-0700-00000C000000}" name="Active" dataDxfId="4"/>
    <tableColumn id="13" xr3:uid="{62AE4E30-01F2-4D26-B1F8-C8FD5BF6FCC9}" name="Supplied by student" dataDxfId="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ttings" displayName="tblSettings" ref="A8:D29" totalsRowShown="0">
  <autoFilter ref="A8:D29" xr:uid="{00000000-0009-0000-0100-000001000000}"/>
  <tableColumns count="4">
    <tableColumn id="1" xr3:uid="{00000000-0010-0000-0000-000001000000}" name="Key" dataDxfId="89"/>
    <tableColumn id="2" xr3:uid="{00000000-0010-0000-0000-000002000000}" name="Setting" dataDxfId="88"/>
    <tableColumn id="3" xr3:uid="{00000000-0010-0000-0000-000003000000}" name="Value" dataDxfId="87"/>
    <tableColumn id="4" xr3:uid="{00000000-0010-0000-0000-000004000000}" name="Notes" dataDxfId="8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aperTypes" displayName="tblPaperTypes" ref="F8:G14" totalsRowShown="0" dataDxfId="85">
  <autoFilter ref="F8:G14" xr:uid="{00000000-0009-0000-0100-000002000000}"/>
  <tableColumns count="2">
    <tableColumn id="1" xr3:uid="{00000000-0010-0000-0100-000001000000}" name="Paper type" dataDxfId="84"/>
    <tableColumn id="2" xr3:uid="{00000000-0010-0000-0100-000002000000}" name="Active" dataDxfId="8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andardSizes" displayName="tblStandardSizes" ref="I8:K14" totalsRowShown="0" dataDxfId="82">
  <autoFilter ref="I8:K14" xr:uid="{00000000-0009-0000-0100-000004000000}"/>
  <tableColumns count="3">
    <tableColumn id="1" xr3:uid="{00000000-0010-0000-0300-000001000000}" name="Size name" dataDxfId="81"/>
    <tableColumn id="2" xr3:uid="{00000000-0010-0000-0300-000002000000}" name="Width mm" dataDxfId="80"/>
    <tableColumn id="3" xr3:uid="{00000000-0010-0000-0300-000003000000}" name="Height mm" dataDxfId="7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sumables" displayName="tblConsumables" ref="M8:N13" totalsRowShown="0" dataDxfId="78">
  <autoFilter ref="M8:N13" xr:uid="{00000000-0009-0000-0100-000005000000}"/>
  <tableColumns count="2">
    <tableColumn id="1" xr3:uid="{00000000-0010-0000-0400-000001000000}" name="Consumable type" dataDxfId="77"/>
    <tableColumn id="2" xr3:uid="{00000000-0010-0000-0400-000002000000}" name="Active" dataDxfId="76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Locations" displayName="tblLocations" ref="A1:K2" totalsRowShown="0">
  <autoFilter ref="A1:K2" xr:uid="{00000000-0009-0000-0100-000009000000}"/>
  <tableColumns count="11">
    <tableColumn id="1" xr3:uid="{00000000-0010-0000-0800-000001000000}" name="SheetName"/>
    <tableColumn id="2" xr3:uid="{00000000-0010-0000-0800-000002000000}" name="Code"/>
    <tableColumn id="3" xr3:uid="{00000000-0010-0000-0800-000003000000}" name="Name"/>
    <tableColumn id="4" xr3:uid="{00000000-0010-0000-0800-000004000000}" name="Department"/>
    <tableColumn id="5" xr3:uid="{00000000-0010-0000-0800-000005000000}" name="Rows"/>
    <tableColumn id="6" xr3:uid="{00000000-0010-0000-0800-000006000000}" name="First date" dataDxfId="2"/>
    <tableColumn id="7" xr3:uid="{00000000-0010-0000-0800-000007000000}" name="Last date" dataDxfId="1"/>
    <tableColumn id="8" xr3:uid="{00000000-0010-0000-0800-000008000000}" name="State"/>
    <tableColumn id="9" xr3:uid="{F307D930-BB9C-468F-AC38-00DA61DF508D}" name="Last export"/>
    <tableColumn id="10" xr3:uid="{B7692E42-45DD-48C6-8B10-C3C464C1B69D}" name="Export sig"/>
    <tableColumn id="11" xr3:uid="{382D3FFF-DA7D-4FF0-9C32-032A3B4C7E9D}" name="Job ID HWM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udit" displayName="tblAudit" ref="A1:E2" totalsRowShown="0">
  <autoFilter ref="A1:E2" xr:uid="{00000000-0009-0000-0100-00000A000000}"/>
  <tableColumns count="5">
    <tableColumn id="1" xr3:uid="{00000000-0010-0000-0900-000001000000}" name="When"/>
    <tableColumn id="2" xr3:uid="{00000000-0010-0000-0900-000002000000}" name="User"/>
    <tableColumn id="3" xr3:uid="{00000000-0010-0000-0900-000003000000}" name="Action"/>
    <tableColumn id="4" xr3:uid="{00000000-0010-0000-0900-000004000000}" name="Location"/>
    <tableColumn id="5" xr3:uid="{00000000-0010-0000-0900-000005000000}" name="Det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outlinePr summaryBelow="0"/>
  </sheetPr>
  <dimension ref="A1:AZ29"/>
  <sheetViews>
    <sheetView showGridLines="0" topLeftCell="AS1" workbookViewId="0">
      <selection activeCell="AP17" sqref="AP17:AP29"/>
    </sheetView>
  </sheetViews>
  <sheetFormatPr defaultRowHeight="14.5" x14ac:dyDescent="0.35"/>
  <cols>
    <col min="1" max="1" width="25.6328125" customWidth="1"/>
    <col min="2" max="2" width="22.7265625" customWidth="1"/>
    <col min="3" max="3" width="13.7265625" customWidth="1"/>
    <col min="4" max="4" width="18.7265625" customWidth="1"/>
    <col min="5" max="5" width="24.7265625" customWidth="1"/>
    <col min="6" max="6" width="8.1796875" customWidth="1"/>
    <col min="7" max="7" width="16.6328125" customWidth="1"/>
    <col min="8" max="8" width="30.7265625" customWidth="1"/>
    <col min="9" max="10" width="7.08984375" customWidth="1"/>
    <col min="11" max="11" width="12.81640625" customWidth="1"/>
    <col min="12" max="12" width="10.7265625" customWidth="1"/>
    <col min="13" max="14" width="14.26953125" customWidth="1"/>
    <col min="15" max="15" width="8.453125" customWidth="1"/>
    <col min="16" max="16" width="12.81640625" customWidth="1"/>
    <col min="17" max="19" width="12.7265625" customWidth="1"/>
    <col min="20" max="21" width="14.26953125" customWidth="1"/>
    <col min="22" max="22" width="5.6328125" customWidth="1" collapsed="1"/>
    <col min="23" max="23" width="12.81640625" customWidth="1"/>
    <col min="24" max="24" width="14.1796875" customWidth="1"/>
    <col min="25" max="25" width="9.1796875" customWidth="1"/>
    <col min="26" max="26" width="14.6328125" customWidth="1"/>
    <col min="27" max="27" width="6.6328125" customWidth="1"/>
    <col min="28" max="28" width="42.81640625" customWidth="1"/>
    <col min="29" max="29" width="12.7265625" hidden="1" customWidth="1"/>
    <col min="30" max="30" width="16.7265625" hidden="1" customWidth="1"/>
    <col min="31" max="31" width="14.7265625" hidden="1" customWidth="1"/>
    <col min="32" max="32" width="11.7265625" hidden="1" customWidth="1"/>
    <col min="33" max="33" width="8.7265625" hidden="1" customWidth="1" collapsed="1"/>
    <col min="34" max="35" width="8.7265625" hidden="1" customWidth="1"/>
    <col min="36" max="36" width="29.90625" hidden="1" customWidth="1"/>
    <col min="37" max="44" width="8.7265625" hidden="1" customWidth="1"/>
    <col min="52" max="52" width="0" hidden="1" customWidth="1"/>
  </cols>
  <sheetData>
    <row r="1" spans="1:52" ht="21" x14ac:dyDescent="0.35">
      <c r="A1" s="6" t="s">
        <v>127</v>
      </c>
      <c r="B1" s="1" t="s">
        <v>183</v>
      </c>
      <c r="AW1" s="18" t="s">
        <v>170</v>
      </c>
      <c r="AZ1" t="s">
        <v>132</v>
      </c>
    </row>
    <row r="2" spans="1:52" x14ac:dyDescent="0.35">
      <c r="A2" s="6" t="s">
        <v>19</v>
      </c>
      <c r="B2" s="31" t="s">
        <v>20</v>
      </c>
      <c r="AW2" s="18" t="s">
        <v>128</v>
      </c>
      <c r="AX2" t="s">
        <v>281</v>
      </c>
    </row>
    <row r="3" spans="1:52" ht="6" customHeight="1" x14ac:dyDescent="0.35"/>
    <row r="4" spans="1:52" x14ac:dyDescent="0.35">
      <c r="A4" s="6" t="s">
        <v>212</v>
      </c>
      <c r="B4" s="32"/>
      <c r="D4" s="2"/>
    </row>
    <row r="5" spans="1:52" x14ac:dyDescent="0.35">
      <c r="A5" s="6" t="s">
        <v>213</v>
      </c>
      <c r="B5" s="33"/>
    </row>
    <row r="6" spans="1:52" x14ac:dyDescent="0.35">
      <c r="A6" s="6" t="s">
        <v>214</v>
      </c>
      <c r="B6" s="33"/>
      <c r="AW6" s="18" t="s">
        <v>130</v>
      </c>
      <c r="AX6" t="s">
        <v>131</v>
      </c>
    </row>
    <row r="7" spans="1:52" ht="6" customHeight="1" x14ac:dyDescent="0.35"/>
    <row r="8" spans="1:52" x14ac:dyDescent="0.35">
      <c r="B8" t="s">
        <v>129</v>
      </c>
      <c r="AW8" s="42" t="s">
        <v>220</v>
      </c>
      <c r="AX8" s="28" t="s">
        <v>221</v>
      </c>
    </row>
    <row r="9" spans="1:52" x14ac:dyDescent="0.35">
      <c r="B9" t="s">
        <v>129</v>
      </c>
      <c r="AW9" s="18" t="s">
        <v>172</v>
      </c>
      <c r="AX9" t="s">
        <v>182</v>
      </c>
    </row>
    <row r="10" spans="1:52" x14ac:dyDescent="0.35">
      <c r="AW10" s="19" t="s">
        <v>171</v>
      </c>
    </row>
    <row r="11" spans="1:52" x14ac:dyDescent="0.35">
      <c r="A11" s="6" t="s">
        <v>215</v>
      </c>
      <c r="B11" s="32" t="s">
        <v>216</v>
      </c>
    </row>
    <row r="12" spans="1:52" x14ac:dyDescent="0.35">
      <c r="A12" s="6" t="s">
        <v>217</v>
      </c>
      <c r="B12" s="5" t="str">
        <f>_xlfn.LET(_xlpm.list,LOC_Printers,_xlpm.n,IF(_xlpm.list="",0,LEN(_xlpm.list)-LEN(SUBSTITUTE(_xlpm.list,";",""))+1),IF(_xlpm.n=0,"0 printers ()",_xlpm.n&amp;" printer"&amp;IF(_xlpm.n=1,"","s")&amp;" ("&amp;SUBSTITUTE(_xlpm.list,";",", ")&amp;")"))</f>
        <v>3 printers (Epson SureColor P9500, HP DesignJet Z9+, Xerox Versant 180)</v>
      </c>
    </row>
    <row r="13" spans="1:52" x14ac:dyDescent="0.35">
      <c r="A13" s="27" t="s">
        <v>218</v>
      </c>
      <c r="B13">
        <f>ROWS(tblJobs_EXAMPLE[])</f>
        <v>12</v>
      </c>
    </row>
    <row r="15" spans="1:52" x14ac:dyDescent="0.35">
      <c r="A15" s="29"/>
      <c r="C15" s="29"/>
      <c r="E15" s="29"/>
      <c r="G15" s="29"/>
      <c r="I15" s="29"/>
      <c r="K15" s="29"/>
      <c r="M15" s="2"/>
    </row>
    <row r="17" spans="1:45" ht="43.5" x14ac:dyDescent="0.35">
      <c r="A17" s="4" t="s">
        <v>135</v>
      </c>
      <c r="B17" s="4" t="s">
        <v>136</v>
      </c>
      <c r="C17" s="4" t="s">
        <v>137</v>
      </c>
      <c r="D17" s="4" t="s">
        <v>138</v>
      </c>
      <c r="E17" s="4" t="s">
        <v>139</v>
      </c>
      <c r="F17" s="4" t="s">
        <v>261</v>
      </c>
      <c r="G17" s="4" t="s">
        <v>262</v>
      </c>
      <c r="H17" s="4" t="s">
        <v>140</v>
      </c>
      <c r="I17" s="4" t="s">
        <v>141</v>
      </c>
      <c r="J17" s="4" t="s">
        <v>211</v>
      </c>
      <c r="K17" s="4" t="s">
        <v>142</v>
      </c>
      <c r="L17" s="23" t="s">
        <v>219</v>
      </c>
      <c r="M17" s="4" t="s">
        <v>143</v>
      </c>
      <c r="N17" s="4" t="s">
        <v>144</v>
      </c>
      <c r="O17" s="4" t="s">
        <v>145</v>
      </c>
      <c r="P17" s="4" t="s">
        <v>146</v>
      </c>
      <c r="Q17" s="4" t="s">
        <v>147</v>
      </c>
      <c r="R17" s="4" t="s">
        <v>263</v>
      </c>
      <c r="S17" s="4" t="s">
        <v>148</v>
      </c>
      <c r="T17" s="4" t="s">
        <v>149</v>
      </c>
      <c r="U17" s="4" t="s">
        <v>150</v>
      </c>
      <c r="V17" s="23" t="s">
        <v>210</v>
      </c>
      <c r="W17" s="4" t="s">
        <v>133</v>
      </c>
      <c r="X17" s="4" t="s">
        <v>134</v>
      </c>
      <c r="Y17" s="4" t="s">
        <v>264</v>
      </c>
      <c r="Z17" s="4" t="s">
        <v>265</v>
      </c>
      <c r="AA17" s="4" t="s">
        <v>266</v>
      </c>
      <c r="AB17" s="4" t="s">
        <v>6</v>
      </c>
      <c r="AC17" s="4" t="s">
        <v>151</v>
      </c>
      <c r="AD17" s="4" t="s">
        <v>267</v>
      </c>
      <c r="AE17" s="4" t="s">
        <v>268</v>
      </c>
      <c r="AF17" s="4" t="s">
        <v>269</v>
      </c>
      <c r="AG17" s="4" t="s">
        <v>152</v>
      </c>
      <c r="AH17" s="4" t="s">
        <v>153</v>
      </c>
      <c r="AI17" s="4" t="s">
        <v>154</v>
      </c>
      <c r="AJ17" s="4" t="s">
        <v>155</v>
      </c>
      <c r="AK17" s="4" t="s">
        <v>156</v>
      </c>
      <c r="AL17" s="4" t="s">
        <v>157</v>
      </c>
      <c r="AM17" s="4" t="s">
        <v>158</v>
      </c>
      <c r="AN17" s="4" t="s">
        <v>159</v>
      </c>
      <c r="AO17" s="4" t="s">
        <v>270</v>
      </c>
      <c r="AP17" s="4" t="s">
        <v>271</v>
      </c>
      <c r="AQ17" s="4" t="s">
        <v>160</v>
      </c>
      <c r="AR17" s="4" t="s">
        <v>161</v>
      </c>
      <c r="AS17" s="4" t="s">
        <v>162</v>
      </c>
    </row>
    <row r="18" spans="1:45" x14ac:dyDescent="0.35">
      <c r="A18" s="11">
        <v>46280.425000000003</v>
      </c>
      <c r="B18" s="12" t="s">
        <v>163</v>
      </c>
      <c r="C18" s="12">
        <v>2201884</v>
      </c>
      <c r="D18" s="12" t="s">
        <v>67</v>
      </c>
      <c r="E18" s="12" t="s">
        <v>83</v>
      </c>
      <c r="F18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18" s="12"/>
      <c r="H18" s="12" t="s">
        <v>100</v>
      </c>
      <c r="I18" s="9" t="str">
        <f>IF(tblJobs_EXAMPLE[[#This Row],[S_Measure]]="","",IF(tblJobs_EXAMPLE[[#This Row],[S_Measure]]="Sheet","sheets",IF(LOC_RollUnit="Centimetres","cm","metres")))</f>
        <v>sheets</v>
      </c>
      <c r="J18" s="13">
        <v>100</v>
      </c>
      <c r="K18" s="36"/>
      <c r="L18" s="39"/>
      <c r="M18" s="37" t="s">
        <v>129</v>
      </c>
      <c r="N18" s="12" t="s">
        <v>129</v>
      </c>
      <c r="O18" s="14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14.400000000000002</v>
      </c>
      <c r="P18" s="15">
        <f>IF(tblJobs_EXAMPLE[[#This Row],[Qty]]="","",ROUND(tblJobs_EXAMPLE[[#This Row],[Qty]]/IF(tblJobs_EXAMPLE[[#This Row],[Unit]]="cm",100,1)*tblJobs_EXAMPLE[[#This Row],[S_UnitCost]],SET_ROUND_DP))</f>
        <v>31</v>
      </c>
      <c r="Q18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13.68</v>
      </c>
      <c r="R18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18" s="15">
        <f>IF(tblJobs_EXAMPLE[[#This Row],[Paper Cost]]="","",tblJobs_EXAMPLE[[#This Row],[Paper Cost]]+tblJobs_EXAMPLE[[#This Row],[Consumable Cost]]+N(tblJobs_EXAMPLE[[#This Row],[Set-up Cost]]))</f>
        <v>44.68</v>
      </c>
      <c r="T18" s="15">
        <f>IF(tblJobs_EXAMPLE[[#This Row],[Gross Cost]]="","",tblJobs_EXAMPLE[[#This Row],[Gross Cost]]-tblJobs_EXAMPLE[[#This Row],[Chargeable Cost]])</f>
        <v>0</v>
      </c>
      <c r="U18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44.68</v>
      </c>
      <c r="V18" s="34"/>
      <c r="W18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18" s="5" t="s">
        <v>282</v>
      </c>
      <c r="Y18" s="5" t="s">
        <v>272</v>
      </c>
      <c r="Z18" s="5"/>
      <c r="AA18" s="49"/>
      <c r="AB18" s="12" t="s">
        <v>164</v>
      </c>
      <c r="AC18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18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18" s="16" t="str">
        <f>IF(tblJobs_EXAMPLE[[#This Row],[Row Type]]&lt;&gt;"Pass","",N(tblJobs_EXAMPLE[[#This Row],[S_SetupCost]]))</f>
        <v/>
      </c>
      <c r="AF18" s="16"/>
      <c r="AG18" s="16" t="s">
        <v>82</v>
      </c>
      <c r="AH18" s="16" t="s">
        <v>99</v>
      </c>
      <c r="AI18" s="16" t="s">
        <v>66</v>
      </c>
      <c r="AJ18" s="16" t="s">
        <v>44</v>
      </c>
      <c r="AK18" s="17">
        <v>0.31</v>
      </c>
      <c r="AL18" s="16">
        <v>320</v>
      </c>
      <c r="AM18" s="16">
        <v>450</v>
      </c>
      <c r="AN18" s="17">
        <v>0.95</v>
      </c>
      <c r="AO18" s="17"/>
      <c r="AP18" s="16"/>
      <c r="AQ18" s="16">
        <v>46280.425000000003</v>
      </c>
      <c r="AR18" s="16" t="s">
        <v>165</v>
      </c>
      <c r="AS18" s="16">
        <v>1</v>
      </c>
    </row>
    <row r="19" spans="1:45" x14ac:dyDescent="0.35">
      <c r="A19" s="11">
        <v>46280.611111111109</v>
      </c>
      <c r="B19" s="12" t="s">
        <v>163</v>
      </c>
      <c r="C19" s="12">
        <v>2201884</v>
      </c>
      <c r="D19" s="12" t="s">
        <v>69</v>
      </c>
      <c r="E19" s="12" t="s">
        <v>79</v>
      </c>
      <c r="F19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19" s="12"/>
      <c r="H19" s="12" t="s">
        <v>106</v>
      </c>
      <c r="I19" s="9" t="str">
        <f>IF(tblJobs_EXAMPLE[[#This Row],[S_Measure]]="","",IF(tblJobs_EXAMPLE[[#This Row],[S_Measure]]="Sheet","sheets",IF(LOC_RollUnit="Centimetres","cm","metres")))</f>
        <v>metres</v>
      </c>
      <c r="J19" s="13">
        <v>12</v>
      </c>
      <c r="K19" s="36"/>
      <c r="L19" s="39"/>
      <c r="M19" s="37" t="s">
        <v>129</v>
      </c>
      <c r="N19" s="12" t="s">
        <v>129</v>
      </c>
      <c r="O19" s="14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10.968</v>
      </c>
      <c r="P19" s="15">
        <f>IF(tblJobs_EXAMPLE[[#This Row],[Qty]]="","",ROUND(tblJobs_EXAMPLE[[#This Row],[Qty]]/IF(tblJobs_EXAMPLE[[#This Row],[Unit]]="cm",100,1)*tblJobs_EXAMPLE[[#This Row],[S_UnitCost]],SET_ROUND_DP))</f>
        <v>105</v>
      </c>
      <c r="Q19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31.26</v>
      </c>
      <c r="R19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19" s="15">
        <f>IF(tblJobs_EXAMPLE[[#This Row],[Paper Cost]]="","",tblJobs_EXAMPLE[[#This Row],[Paper Cost]]+tblJobs_EXAMPLE[[#This Row],[Consumable Cost]]+N(tblJobs_EXAMPLE[[#This Row],[Set-up Cost]]))</f>
        <v>136.26</v>
      </c>
      <c r="T19" s="15">
        <f>IF(tblJobs_EXAMPLE[[#This Row],[Gross Cost]]="","",tblJobs_EXAMPLE[[#This Row],[Gross Cost]]-tblJobs_EXAMPLE[[#This Row],[Chargeable Cost]])</f>
        <v>0</v>
      </c>
      <c r="U19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136.26</v>
      </c>
      <c r="V19" s="35"/>
      <c r="W19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19" s="5" t="s">
        <v>283</v>
      </c>
      <c r="Y19" s="5" t="s">
        <v>272</v>
      </c>
      <c r="Z19" s="5"/>
      <c r="AA19" s="49"/>
      <c r="AB19" s="12" t="s">
        <v>166</v>
      </c>
      <c r="AC19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19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19" s="16" t="str">
        <f>IF(tblJobs_EXAMPLE[[#This Row],[Row Type]]&lt;&gt;"Pass","",N(tblJobs_EXAMPLE[[#This Row],[S_SetupCost]]))</f>
        <v/>
      </c>
      <c r="AF19" s="16"/>
      <c r="AG19" s="16" t="s">
        <v>78</v>
      </c>
      <c r="AH19" s="16" t="s">
        <v>105</v>
      </c>
      <c r="AI19" s="16" t="s">
        <v>68</v>
      </c>
      <c r="AJ19" s="16" t="s">
        <v>45</v>
      </c>
      <c r="AK19" s="17">
        <v>8.75</v>
      </c>
      <c r="AL19" s="16">
        <v>914</v>
      </c>
      <c r="AM19" s="16"/>
      <c r="AN19" s="17">
        <v>2.85</v>
      </c>
      <c r="AO19" s="17"/>
      <c r="AP19" s="16"/>
      <c r="AQ19" s="16">
        <v>46280.611111111109</v>
      </c>
      <c r="AR19" s="16" t="s">
        <v>165</v>
      </c>
      <c r="AS19" s="16">
        <v>1</v>
      </c>
    </row>
    <row r="20" spans="1:45" x14ac:dyDescent="0.35">
      <c r="A20" s="11">
        <v>46281.461805555555</v>
      </c>
      <c r="B20" s="12" t="s">
        <v>167</v>
      </c>
      <c r="C20" s="12">
        <v>2203110</v>
      </c>
      <c r="D20" s="12" t="s">
        <v>69</v>
      </c>
      <c r="E20" s="12" t="s">
        <v>79</v>
      </c>
      <c r="F20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0" s="12"/>
      <c r="H20" s="12" t="s">
        <v>106</v>
      </c>
      <c r="I20" s="9" t="str">
        <f>IF(tblJobs_EXAMPLE[[#This Row],[S_Measure]]="","",IF(tblJobs_EXAMPLE[[#This Row],[S_Measure]]="Sheet","sheets",IF(LOC_RollUnit="Centimetres","cm","metres")))</f>
        <v>metres</v>
      </c>
      <c r="J20" s="13">
        <v>12</v>
      </c>
      <c r="K20" s="36">
        <v>600</v>
      </c>
      <c r="L20" s="39"/>
      <c r="M20" s="37" t="s">
        <v>129</v>
      </c>
      <c r="N20" s="12" t="s">
        <v>129</v>
      </c>
      <c r="O20" s="14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7.1999999999999993</v>
      </c>
      <c r="P20" s="15">
        <f>IF(tblJobs_EXAMPLE[[#This Row],[Qty]]="","",ROUND(tblJobs_EXAMPLE[[#This Row],[Qty]]/IF(tblJobs_EXAMPLE[[#This Row],[Unit]]="cm",100,1)*tblJobs_EXAMPLE[[#This Row],[S_UnitCost]],SET_ROUND_DP))</f>
        <v>105</v>
      </c>
      <c r="Q20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20.52</v>
      </c>
      <c r="R20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0" s="15">
        <f>IF(tblJobs_EXAMPLE[[#This Row],[Paper Cost]]="","",tblJobs_EXAMPLE[[#This Row],[Paper Cost]]+tblJobs_EXAMPLE[[#This Row],[Consumable Cost]]+N(tblJobs_EXAMPLE[[#This Row],[Set-up Cost]]))</f>
        <v>125.52</v>
      </c>
      <c r="T20" s="15">
        <f>IF(tblJobs_EXAMPLE[[#This Row],[Gross Cost]]="","",tblJobs_EXAMPLE[[#This Row],[Gross Cost]]-tblJobs_EXAMPLE[[#This Row],[Chargeable Cost]])</f>
        <v>0</v>
      </c>
      <c r="U20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125.52</v>
      </c>
      <c r="V20" s="35"/>
      <c r="W20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0" s="5" t="s">
        <v>284</v>
      </c>
      <c r="Y20" s="5" t="s">
        <v>272</v>
      </c>
      <c r="Z20" s="5"/>
      <c r="AA20" s="49"/>
      <c r="AB20" s="12" t="s">
        <v>168</v>
      </c>
      <c r="AC20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0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0" s="16" t="str">
        <f>IF(tblJobs_EXAMPLE[[#This Row],[Row Type]]&lt;&gt;"Pass","",N(tblJobs_EXAMPLE[[#This Row],[S_SetupCost]]))</f>
        <v/>
      </c>
      <c r="AF20" s="16"/>
      <c r="AG20" s="16" t="s">
        <v>78</v>
      </c>
      <c r="AH20" s="16" t="s">
        <v>105</v>
      </c>
      <c r="AI20" s="16" t="s">
        <v>68</v>
      </c>
      <c r="AJ20" s="16" t="s">
        <v>45</v>
      </c>
      <c r="AK20" s="17">
        <v>8.75</v>
      </c>
      <c r="AL20" s="16">
        <v>914</v>
      </c>
      <c r="AM20" s="16"/>
      <c r="AN20" s="17">
        <v>2.85</v>
      </c>
      <c r="AO20" s="17"/>
      <c r="AP20" s="16"/>
      <c r="AQ20" s="16">
        <v>46281.461805555555</v>
      </c>
      <c r="AR20" s="16" t="s">
        <v>165</v>
      </c>
      <c r="AS20" s="16">
        <v>1</v>
      </c>
    </row>
    <row r="21" spans="1:45" x14ac:dyDescent="0.35">
      <c r="A21" s="11">
        <v>46281.638888888891</v>
      </c>
      <c r="B21" s="12" t="s">
        <v>167</v>
      </c>
      <c r="C21" s="12">
        <v>2203110</v>
      </c>
      <c r="D21" s="12" t="s">
        <v>67</v>
      </c>
      <c r="E21" s="12" t="s">
        <v>79</v>
      </c>
      <c r="F21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1" s="12"/>
      <c r="H21" s="12" t="s">
        <v>104</v>
      </c>
      <c r="I21" s="9" t="str">
        <f>IF(tblJobs_EXAMPLE[[#This Row],[S_Measure]]="","",IF(tblJobs_EXAMPLE[[#This Row],[S_Measure]]="Sheet","sheets",IF(LOC_RollUnit="Centimetres","cm","metres")))</f>
        <v>metres</v>
      </c>
      <c r="J21" s="13">
        <v>5</v>
      </c>
      <c r="K21" s="36"/>
      <c r="L21" s="39"/>
      <c r="M21" s="37" t="s">
        <v>38</v>
      </c>
      <c r="N21" s="12" t="s">
        <v>129</v>
      </c>
      <c r="O21" s="14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3.05</v>
      </c>
      <c r="P21" s="15">
        <f>IF(tblJobs_EXAMPLE[[#This Row],[Qty]]="","",ROUND(tblJobs_EXAMPLE[[#This Row],[Qty]]/IF(tblJobs_EXAMPLE[[#This Row],[Unit]]="cm",100,1)*tblJobs_EXAMPLE[[#This Row],[S_UnitCost]],SET_ROUND_DP))</f>
        <v>15.5</v>
      </c>
      <c r="Q21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8.69</v>
      </c>
      <c r="R21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1" s="15">
        <f>IF(tblJobs_EXAMPLE[[#This Row],[Paper Cost]]="","",tblJobs_EXAMPLE[[#This Row],[Paper Cost]]+tblJobs_EXAMPLE[[#This Row],[Consumable Cost]]+N(tblJobs_EXAMPLE[[#This Row],[Set-up Cost]]))</f>
        <v>24.189999999999998</v>
      </c>
      <c r="T21" s="15">
        <f>IF(tblJobs_EXAMPLE[[#This Row],[Gross Cost]]="","",tblJobs_EXAMPLE[[#This Row],[Gross Cost]]-tblJobs_EXAMPLE[[#This Row],[Chargeable Cost]])</f>
        <v>15.499999999999998</v>
      </c>
      <c r="U21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8.69</v>
      </c>
      <c r="V21" s="35"/>
      <c r="W21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1" s="5" t="s">
        <v>285</v>
      </c>
      <c r="Y21" s="5" t="s">
        <v>272</v>
      </c>
      <c r="Z21" s="5"/>
      <c r="AA21" s="49"/>
      <c r="AB21" s="12" t="s">
        <v>169</v>
      </c>
      <c r="AC21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1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1" s="16" t="str">
        <f>IF(tblJobs_EXAMPLE[[#This Row],[Row Type]]&lt;&gt;"Pass","",N(tblJobs_EXAMPLE[[#This Row],[S_SetupCost]]))</f>
        <v/>
      </c>
      <c r="AF21" s="16"/>
      <c r="AG21" s="16" t="s">
        <v>78</v>
      </c>
      <c r="AH21" s="16" t="s">
        <v>103</v>
      </c>
      <c r="AI21" s="16" t="s">
        <v>66</v>
      </c>
      <c r="AJ21" s="16" t="s">
        <v>45</v>
      </c>
      <c r="AK21" s="17">
        <v>3.1</v>
      </c>
      <c r="AL21" s="16">
        <v>610</v>
      </c>
      <c r="AM21" s="16"/>
      <c r="AN21" s="17">
        <v>2.85</v>
      </c>
      <c r="AO21" s="17"/>
      <c r="AP21" s="16"/>
      <c r="AQ21" s="16">
        <v>46281.638888888891</v>
      </c>
      <c r="AR21" s="16" t="s">
        <v>165</v>
      </c>
      <c r="AS21" s="16">
        <v>1</v>
      </c>
    </row>
    <row r="22" spans="1:45" x14ac:dyDescent="0.35">
      <c r="A22" s="11">
        <v>46282.381944444445</v>
      </c>
      <c r="B22" s="12" t="s">
        <v>173</v>
      </c>
      <c r="C22" s="12">
        <v>2204521</v>
      </c>
      <c r="D22" s="12" t="s">
        <v>71</v>
      </c>
      <c r="E22" s="12" t="s">
        <v>83</v>
      </c>
      <c r="F22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2" s="12"/>
      <c r="H22" s="12" t="s">
        <v>102</v>
      </c>
      <c r="I22" s="9" t="str">
        <f>IF(tblJobs_EXAMPLE[[#This Row],[S_Measure]]="","",IF(tblJobs_EXAMPLE[[#This Row],[S_Measure]]="Sheet","sheets",IF(LOC_RollUnit="Centimetres","cm","metres")))</f>
        <v>sheets</v>
      </c>
      <c r="J22" s="13">
        <v>25</v>
      </c>
      <c r="K22" s="36"/>
      <c r="L22" s="39"/>
      <c r="M22" s="37" t="s">
        <v>129</v>
      </c>
      <c r="N22" s="12" t="s">
        <v>38</v>
      </c>
      <c r="O22" s="14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3.1184999999999996</v>
      </c>
      <c r="P22" s="15">
        <f>IF(tblJobs_EXAMPLE[[#This Row],[Qty]]="","",ROUND(tblJobs_EXAMPLE[[#This Row],[Qty]]/IF(tblJobs_EXAMPLE[[#This Row],[Unit]]="cm",100,1)*tblJobs_EXAMPLE[[#This Row],[S_UnitCost]],SET_ROUND_DP))</f>
        <v>2.25</v>
      </c>
      <c r="Q22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2.96</v>
      </c>
      <c r="R22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2" s="15">
        <f>IF(tblJobs_EXAMPLE[[#This Row],[Paper Cost]]="","",tblJobs_EXAMPLE[[#This Row],[Paper Cost]]+tblJobs_EXAMPLE[[#This Row],[Consumable Cost]]+N(tblJobs_EXAMPLE[[#This Row],[Set-up Cost]]))</f>
        <v>5.21</v>
      </c>
      <c r="T22" s="15">
        <f>IF(tblJobs_EXAMPLE[[#This Row],[Gross Cost]]="","",tblJobs_EXAMPLE[[#This Row],[Gross Cost]]-tblJobs_EXAMPLE[[#This Row],[Chargeable Cost]])</f>
        <v>2.96</v>
      </c>
      <c r="U22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2.25</v>
      </c>
      <c r="V22" s="35"/>
      <c r="W22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2" s="5" t="s">
        <v>286</v>
      </c>
      <c r="Y22" s="5" t="s">
        <v>272</v>
      </c>
      <c r="Z22" s="5"/>
      <c r="AA22" s="49"/>
      <c r="AB22" s="12" t="s">
        <v>174</v>
      </c>
      <c r="AC22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2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2" s="16" t="str">
        <f>IF(tblJobs_EXAMPLE[[#This Row],[Row Type]]&lt;&gt;"Pass","",N(tblJobs_EXAMPLE[[#This Row],[S_SetupCost]]))</f>
        <v/>
      </c>
      <c r="AF22" s="16"/>
      <c r="AG22" s="16" t="s">
        <v>82</v>
      </c>
      <c r="AH22" s="16" t="s">
        <v>101</v>
      </c>
      <c r="AI22" s="16" t="s">
        <v>70</v>
      </c>
      <c r="AJ22" s="16" t="s">
        <v>44</v>
      </c>
      <c r="AK22" s="17">
        <v>0.09</v>
      </c>
      <c r="AL22" s="16">
        <v>297</v>
      </c>
      <c r="AM22" s="16">
        <v>420</v>
      </c>
      <c r="AN22" s="17">
        <v>0.95</v>
      </c>
      <c r="AO22" s="17"/>
      <c r="AP22" s="16"/>
      <c r="AQ22" s="16">
        <v>46282.381944444445</v>
      </c>
      <c r="AR22" s="16" t="s">
        <v>165</v>
      </c>
      <c r="AS22" s="16">
        <v>1</v>
      </c>
    </row>
    <row r="23" spans="1:45" x14ac:dyDescent="0.35">
      <c r="A23" s="11">
        <v>46282.559027777781</v>
      </c>
      <c r="B23" s="11" t="s">
        <v>173</v>
      </c>
      <c r="C23" s="12">
        <v>2204521</v>
      </c>
      <c r="D23" s="12" t="s">
        <v>71</v>
      </c>
      <c r="E23" s="12" t="s">
        <v>83</v>
      </c>
      <c r="F23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3" s="12"/>
      <c r="H23" s="12" t="s">
        <v>112</v>
      </c>
      <c r="I23" s="20" t="str">
        <f>IF(tblJobs_EXAMPLE[[#This Row],[S_Measure]]="","",IF(tblJobs_EXAMPLE[[#This Row],[S_Measure]]="Sheet","sheets",IF(LOC_RollUnit="Centimetres","cm","metres")))</f>
        <v>sheets</v>
      </c>
      <c r="J23" s="13">
        <v>15</v>
      </c>
      <c r="K23" s="36"/>
      <c r="L23" s="39"/>
      <c r="M23" s="38" t="s">
        <v>129</v>
      </c>
      <c r="N23" s="12" t="s">
        <v>129</v>
      </c>
      <c r="O23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2.16</v>
      </c>
      <c r="P23" s="15">
        <f>IF(tblJobs_EXAMPLE[[#This Row],[Qty]]="","",ROUND(tblJobs_EXAMPLE[[#This Row],[Qty]]/IF(tblJobs_EXAMPLE[[#This Row],[Unit]]="cm",100,1)*tblJobs_EXAMPLE[[#This Row],[S_UnitCost]],SET_ROUND_DP))</f>
        <v>2.7</v>
      </c>
      <c r="Q23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2.0499999999999998</v>
      </c>
      <c r="R23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3" s="15">
        <f>IF(tblJobs_EXAMPLE[[#This Row],[Paper Cost]]="","",tblJobs_EXAMPLE[[#This Row],[Paper Cost]]+tblJobs_EXAMPLE[[#This Row],[Consumable Cost]]+N(tblJobs_EXAMPLE[[#This Row],[Set-up Cost]]))</f>
        <v>4.75</v>
      </c>
      <c r="T23" s="15">
        <f>IF(tblJobs_EXAMPLE[[#This Row],[Gross Cost]]="","",tblJobs_EXAMPLE[[#This Row],[Gross Cost]]-tblJobs_EXAMPLE[[#This Row],[Chargeable Cost]])</f>
        <v>0</v>
      </c>
      <c r="U23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4.75</v>
      </c>
      <c r="V23" s="35"/>
      <c r="W23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3" s="5" t="s">
        <v>287</v>
      </c>
      <c r="Y23" s="5" t="s">
        <v>272</v>
      </c>
      <c r="Z23" s="5"/>
      <c r="AA23" s="49"/>
      <c r="AB23" s="12" t="s">
        <v>175</v>
      </c>
      <c r="AC23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3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3" s="16" t="str">
        <f>IF(tblJobs_EXAMPLE[[#This Row],[Row Type]]&lt;&gt;"Pass","",N(tblJobs_EXAMPLE[[#This Row],[S_SetupCost]]))</f>
        <v/>
      </c>
      <c r="AF23" s="16"/>
      <c r="AG23" s="16" t="s">
        <v>82</v>
      </c>
      <c r="AH23" s="16" t="s">
        <v>111</v>
      </c>
      <c r="AI23" s="16" t="s">
        <v>70</v>
      </c>
      <c r="AJ23" s="16" t="s">
        <v>44</v>
      </c>
      <c r="AK23" s="17">
        <v>0.18</v>
      </c>
      <c r="AL23" s="16">
        <v>320</v>
      </c>
      <c r="AM23" s="16">
        <v>450</v>
      </c>
      <c r="AN23" s="17">
        <v>0.95</v>
      </c>
      <c r="AO23" s="17"/>
      <c r="AP23" s="16"/>
      <c r="AQ23" s="16">
        <v>46282.559027777781</v>
      </c>
      <c r="AR23" s="16" t="s">
        <v>165</v>
      </c>
      <c r="AS23" s="16">
        <v>1</v>
      </c>
    </row>
    <row r="24" spans="1:45" x14ac:dyDescent="0.35">
      <c r="A24" s="11">
        <v>46282.666666666664</v>
      </c>
      <c r="B24" s="11" t="s">
        <v>173</v>
      </c>
      <c r="C24" s="12">
        <v>2204521</v>
      </c>
      <c r="D24" s="12" t="s">
        <v>69</v>
      </c>
      <c r="E24" s="12" t="s">
        <v>85</v>
      </c>
      <c r="F24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4" s="12"/>
      <c r="H24" s="12" t="s">
        <v>108</v>
      </c>
      <c r="I24" s="20" t="str">
        <f>IF(tblJobs_EXAMPLE[[#This Row],[S_Measure]]="","",IF(tblJobs_EXAMPLE[[#This Row],[S_Measure]]="Sheet","sheets",IF(LOC_RollUnit="Centimetres","cm","metres")))</f>
        <v>metres</v>
      </c>
      <c r="J24" s="13">
        <v>8</v>
      </c>
      <c r="K24" s="36"/>
      <c r="L24" s="39"/>
      <c r="M24" s="38" t="s">
        <v>129</v>
      </c>
      <c r="N24" s="12" t="s">
        <v>129</v>
      </c>
      <c r="O24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10.96</v>
      </c>
      <c r="P24" s="15">
        <f>IF(tblJobs_EXAMPLE[[#This Row],[Qty]]="","",ROUND(tblJobs_EXAMPLE[[#This Row],[Qty]]/IF(tblJobs_EXAMPLE[[#This Row],[Unit]]="cm",100,1)*tblJobs_EXAMPLE[[#This Row],[S_UnitCost]],SET_ROUND_DP))</f>
        <v>91.2</v>
      </c>
      <c r="Q24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19.18</v>
      </c>
      <c r="R24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4" s="15">
        <f>IF(tblJobs_EXAMPLE[[#This Row],[Paper Cost]]="","",tblJobs_EXAMPLE[[#This Row],[Paper Cost]]+tblJobs_EXAMPLE[[#This Row],[Consumable Cost]]+N(tblJobs_EXAMPLE[[#This Row],[Set-up Cost]]))</f>
        <v>110.38</v>
      </c>
      <c r="T24" s="15">
        <f>IF(tblJobs_EXAMPLE[[#This Row],[Gross Cost]]="","",tblJobs_EXAMPLE[[#This Row],[Gross Cost]]-tblJobs_EXAMPLE[[#This Row],[Chargeable Cost]])</f>
        <v>0</v>
      </c>
      <c r="U24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110.38</v>
      </c>
      <c r="V24" s="35"/>
      <c r="W24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4" s="5" t="s">
        <v>288</v>
      </c>
      <c r="Y24" s="5" t="s">
        <v>272</v>
      </c>
      <c r="Z24" s="5"/>
      <c r="AA24" s="49"/>
      <c r="AB24" s="12" t="s">
        <v>176</v>
      </c>
      <c r="AC24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4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4" s="16" t="str">
        <f>IF(tblJobs_EXAMPLE[[#This Row],[Row Type]]&lt;&gt;"Pass","",N(tblJobs_EXAMPLE[[#This Row],[S_SetupCost]]))</f>
        <v/>
      </c>
      <c r="AF24" s="16"/>
      <c r="AG24" s="16" t="s">
        <v>84</v>
      </c>
      <c r="AH24" s="16" t="s">
        <v>107</v>
      </c>
      <c r="AI24" s="16" t="s">
        <v>68</v>
      </c>
      <c r="AJ24" s="16" t="s">
        <v>45</v>
      </c>
      <c r="AK24" s="17">
        <v>11.4</v>
      </c>
      <c r="AL24" s="16">
        <v>1370</v>
      </c>
      <c r="AM24" s="16"/>
      <c r="AN24" s="17">
        <v>1.75</v>
      </c>
      <c r="AO24" s="17"/>
      <c r="AP24" s="16"/>
      <c r="AQ24" s="16">
        <v>46282.666666666664</v>
      </c>
      <c r="AR24" s="16" t="s">
        <v>165</v>
      </c>
      <c r="AS24" s="16">
        <v>1</v>
      </c>
    </row>
    <row r="25" spans="1:45" x14ac:dyDescent="0.35">
      <c r="A25" s="11">
        <v>46283.427083333336</v>
      </c>
      <c r="B25" s="11"/>
      <c r="C25" s="12">
        <v>2205077</v>
      </c>
      <c r="D25" s="12" t="s">
        <v>67</v>
      </c>
      <c r="E25" s="12" t="s">
        <v>81</v>
      </c>
      <c r="F25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5" s="12"/>
      <c r="H25" s="12" t="s">
        <v>104</v>
      </c>
      <c r="I25" s="20" t="str">
        <f>IF(tblJobs_EXAMPLE[[#This Row],[S_Measure]]="","",IF(tblJobs_EXAMPLE[[#This Row],[S_Measure]]="Sheet","sheets",IF(LOC_RollUnit="Centimetres","cm","metres")))</f>
        <v>metres</v>
      </c>
      <c r="J25" s="13">
        <v>3</v>
      </c>
      <c r="K25" s="36"/>
      <c r="L25" s="39"/>
      <c r="M25" s="38" t="s">
        <v>129</v>
      </c>
      <c r="N25" s="12" t="s">
        <v>129</v>
      </c>
      <c r="O25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1.83</v>
      </c>
      <c r="P25" s="15">
        <f>IF(tblJobs_EXAMPLE[[#This Row],[Qty]]="","",ROUND(tblJobs_EXAMPLE[[#This Row],[Qty]]/IF(tblJobs_EXAMPLE[[#This Row],[Unit]]="cm",100,1)*tblJobs_EXAMPLE[[#This Row],[S_UnitCost]],SET_ROUND_DP))</f>
        <v>9.3000000000000007</v>
      </c>
      <c r="Q25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4.3899999999999997</v>
      </c>
      <c r="R25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5" s="15">
        <f>IF(tblJobs_EXAMPLE[[#This Row],[Paper Cost]]="","",tblJobs_EXAMPLE[[#This Row],[Paper Cost]]+tblJobs_EXAMPLE[[#This Row],[Consumable Cost]]+N(tblJobs_EXAMPLE[[#This Row],[Set-up Cost]]))</f>
        <v>13.690000000000001</v>
      </c>
      <c r="T25" s="15">
        <f>IF(tblJobs_EXAMPLE[[#This Row],[Gross Cost]]="","",tblJobs_EXAMPLE[[#This Row],[Gross Cost]]-tblJobs_EXAMPLE[[#This Row],[Chargeable Cost]])</f>
        <v>0</v>
      </c>
      <c r="U25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13.690000000000001</v>
      </c>
      <c r="V25" s="35"/>
      <c r="W25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5" s="5" t="s">
        <v>289</v>
      </c>
      <c r="Y25" s="5" t="s">
        <v>272</v>
      </c>
      <c r="Z25" s="5"/>
      <c r="AA25" s="49"/>
      <c r="AB25" s="12" t="s">
        <v>177</v>
      </c>
      <c r="AC25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5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5" s="16" t="str">
        <f>IF(tblJobs_EXAMPLE[[#This Row],[Row Type]]&lt;&gt;"Pass","",N(tblJobs_EXAMPLE[[#This Row],[S_SetupCost]]))</f>
        <v/>
      </c>
      <c r="AF25" s="16"/>
      <c r="AG25" s="16" t="s">
        <v>80</v>
      </c>
      <c r="AH25" s="16" t="s">
        <v>103</v>
      </c>
      <c r="AI25" s="16" t="s">
        <v>66</v>
      </c>
      <c r="AJ25" s="16" t="s">
        <v>45</v>
      </c>
      <c r="AK25" s="17">
        <v>3.1</v>
      </c>
      <c r="AL25" s="16">
        <v>610</v>
      </c>
      <c r="AM25" s="16"/>
      <c r="AN25" s="17">
        <v>2.4</v>
      </c>
      <c r="AO25" s="17"/>
      <c r="AP25" s="16"/>
      <c r="AQ25" s="16">
        <v>46283.427083333336</v>
      </c>
      <c r="AR25" s="16" t="s">
        <v>165</v>
      </c>
      <c r="AS25" s="16">
        <v>1</v>
      </c>
    </row>
    <row r="26" spans="1:45" x14ac:dyDescent="0.35">
      <c r="A26" s="11">
        <v>46283.486111111109</v>
      </c>
      <c r="B26" s="11" t="s">
        <v>72</v>
      </c>
      <c r="C26" s="12"/>
      <c r="D26" s="12" t="s">
        <v>71</v>
      </c>
      <c r="E26" s="12" t="s">
        <v>83</v>
      </c>
      <c r="F26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6" s="12"/>
      <c r="H26" s="12" t="s">
        <v>98</v>
      </c>
      <c r="I26" s="20" t="str">
        <f>IF(tblJobs_EXAMPLE[[#This Row],[S_Measure]]="","",IF(tblJobs_EXAMPLE[[#This Row],[S_Measure]]="Sheet","sheets",IF(LOC_RollUnit="Centimetres","cm","metres")))</f>
        <v>sheets</v>
      </c>
      <c r="J26" s="13">
        <v>30</v>
      </c>
      <c r="K26" s="36"/>
      <c r="L26" s="39"/>
      <c r="M26" s="38" t="s">
        <v>129</v>
      </c>
      <c r="N26" s="12" t="s">
        <v>129</v>
      </c>
      <c r="O26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7.4843999999999991</v>
      </c>
      <c r="P26" s="15">
        <f>IF(tblJobs_EXAMPLE[[#This Row],[Qty]]="","",ROUND(tblJobs_EXAMPLE[[#This Row],[Qty]]/IF(tblJobs_EXAMPLE[[#This Row],[Unit]]="cm",100,1)*tblJobs_EXAMPLE[[#This Row],[S_UnitCost]],SET_ROUND_DP))</f>
        <v>7.2</v>
      </c>
      <c r="Q26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7.11</v>
      </c>
      <c r="R26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6" s="15">
        <f>IF(tblJobs_EXAMPLE[[#This Row],[Paper Cost]]="","",tblJobs_EXAMPLE[[#This Row],[Paper Cost]]+tblJobs_EXAMPLE[[#This Row],[Consumable Cost]]+N(tblJobs_EXAMPLE[[#This Row],[Set-up Cost]]))</f>
        <v>14.31</v>
      </c>
      <c r="T26" s="15">
        <f>IF(tblJobs_EXAMPLE[[#This Row],[Gross Cost]]="","",tblJobs_EXAMPLE[[#This Row],[Gross Cost]]-tblJobs_EXAMPLE[[#This Row],[Chargeable Cost]])</f>
        <v>0</v>
      </c>
      <c r="U26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14.31</v>
      </c>
      <c r="V26" s="35"/>
      <c r="W26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6" s="5" t="s">
        <v>290</v>
      </c>
      <c r="Y26" s="5" t="s">
        <v>272</v>
      </c>
      <c r="Z26" s="5"/>
      <c r="AA26" s="49"/>
      <c r="AB26" s="12" t="s">
        <v>178</v>
      </c>
      <c r="AC26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6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6" s="16" t="str">
        <f>IF(tblJobs_EXAMPLE[[#This Row],[Row Type]]&lt;&gt;"Pass","",N(tblJobs_EXAMPLE[[#This Row],[S_SetupCost]]))</f>
        <v/>
      </c>
      <c r="AF26" s="16"/>
      <c r="AG26" s="16" t="s">
        <v>82</v>
      </c>
      <c r="AH26" s="16" t="s">
        <v>97</v>
      </c>
      <c r="AI26" s="16" t="s">
        <v>70</v>
      </c>
      <c r="AJ26" s="16" t="s">
        <v>44</v>
      </c>
      <c r="AK26" s="17">
        <v>0.24</v>
      </c>
      <c r="AL26" s="16">
        <v>420</v>
      </c>
      <c r="AM26" s="16">
        <v>594</v>
      </c>
      <c r="AN26" s="17">
        <v>0.95</v>
      </c>
      <c r="AO26" s="17"/>
      <c r="AP26" s="16"/>
      <c r="AQ26" s="16">
        <v>46283.486111111109</v>
      </c>
      <c r="AR26" s="16" t="s">
        <v>165</v>
      </c>
      <c r="AS26" s="16">
        <v>1</v>
      </c>
    </row>
    <row r="27" spans="1:45" x14ac:dyDescent="0.35">
      <c r="A27" s="11">
        <v>46283.638888888891</v>
      </c>
      <c r="B27" s="11" t="s">
        <v>173</v>
      </c>
      <c r="C27" s="12">
        <v>2204521</v>
      </c>
      <c r="D27" s="12" t="s">
        <v>69</v>
      </c>
      <c r="E27" s="12" t="s">
        <v>79</v>
      </c>
      <c r="F27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7" s="12"/>
      <c r="H27" s="12" t="s">
        <v>110</v>
      </c>
      <c r="I27" s="20" t="str">
        <f>IF(tblJobs_EXAMPLE[[#This Row],[S_Measure]]="","",IF(tblJobs_EXAMPLE[[#This Row],[S_Measure]]="Sheet","sheets",IF(LOC_RollUnit="Centimetres","cm","metres")))</f>
        <v>metres</v>
      </c>
      <c r="J27" s="13">
        <v>20</v>
      </c>
      <c r="K27" s="36"/>
      <c r="L27" s="39"/>
      <c r="M27" s="38" t="s">
        <v>129</v>
      </c>
      <c r="N27" s="12" t="s">
        <v>129</v>
      </c>
      <c r="O27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21.34</v>
      </c>
      <c r="P27" s="15">
        <f>IF(tblJobs_EXAMPLE[[#This Row],[Qty]]="","",ROUND(tblJobs_EXAMPLE[[#This Row],[Qty]]/IF(tblJobs_EXAMPLE[[#This Row],[Unit]]="cm",100,1)*tblJobs_EXAMPLE[[#This Row],[S_UnitCost]],SET_ROUND_DP))</f>
        <v>112</v>
      </c>
      <c r="Q27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60.82</v>
      </c>
      <c r="R27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7" s="15">
        <f>IF(tblJobs_EXAMPLE[[#This Row],[Paper Cost]]="","",tblJobs_EXAMPLE[[#This Row],[Paper Cost]]+tblJobs_EXAMPLE[[#This Row],[Consumable Cost]]+N(tblJobs_EXAMPLE[[#This Row],[Set-up Cost]]))</f>
        <v>172.82</v>
      </c>
      <c r="T27" s="15">
        <f>IF(tblJobs_EXAMPLE[[#This Row],[Gross Cost]]="","",tblJobs_EXAMPLE[[#This Row],[Gross Cost]]-tblJobs_EXAMPLE[[#This Row],[Chargeable Cost]])</f>
        <v>0</v>
      </c>
      <c r="U27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172.82</v>
      </c>
      <c r="V27" s="35"/>
      <c r="W27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7" s="5" t="s">
        <v>291</v>
      </c>
      <c r="Y27" s="5" t="s">
        <v>272</v>
      </c>
      <c r="Z27" s="5"/>
      <c r="AA27" s="49"/>
      <c r="AB27" s="12" t="s">
        <v>179</v>
      </c>
      <c r="AC27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7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7" s="16" t="str">
        <f>IF(tblJobs_EXAMPLE[[#This Row],[Row Type]]&lt;&gt;"Pass","",N(tblJobs_EXAMPLE[[#This Row],[S_SetupCost]]))</f>
        <v/>
      </c>
      <c r="AF27" s="16"/>
      <c r="AG27" s="16" t="s">
        <v>78</v>
      </c>
      <c r="AH27" s="16" t="s">
        <v>109</v>
      </c>
      <c r="AI27" s="16" t="s">
        <v>68</v>
      </c>
      <c r="AJ27" s="16" t="s">
        <v>45</v>
      </c>
      <c r="AK27" s="17">
        <v>5.6</v>
      </c>
      <c r="AL27" s="16">
        <v>1067</v>
      </c>
      <c r="AM27" s="16"/>
      <c r="AN27" s="17">
        <v>2.85</v>
      </c>
      <c r="AO27" s="17"/>
      <c r="AP27" s="16"/>
      <c r="AQ27" s="16">
        <v>46283.638888888891</v>
      </c>
      <c r="AR27" s="16" t="s">
        <v>165</v>
      </c>
      <c r="AS27" s="16">
        <v>1</v>
      </c>
    </row>
    <row r="28" spans="1:45" x14ac:dyDescent="0.35">
      <c r="A28" s="11">
        <v>46284.34375</v>
      </c>
      <c r="B28" s="11" t="s">
        <v>167</v>
      </c>
      <c r="C28" s="12">
        <v>2203110</v>
      </c>
      <c r="D28" s="12" t="s">
        <v>67</v>
      </c>
      <c r="E28" s="12" t="s">
        <v>83</v>
      </c>
      <c r="F28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8" s="12"/>
      <c r="H28" s="12" t="s">
        <v>95</v>
      </c>
      <c r="I28" s="20" t="str">
        <f>IF(tblJobs_EXAMPLE[[#This Row],[S_Measure]]="","",IF(tblJobs_EXAMPLE[[#This Row],[S_Measure]]="Sheet","sheets",IF(LOC_RollUnit="Centimetres","cm","metres")))</f>
        <v>sheets</v>
      </c>
      <c r="J28" s="13">
        <v>40</v>
      </c>
      <c r="K28" s="36"/>
      <c r="L28" s="39"/>
      <c r="M28" s="38" t="s">
        <v>129</v>
      </c>
      <c r="N28" s="12" t="s">
        <v>129</v>
      </c>
      <c r="O28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19.982159999999997</v>
      </c>
      <c r="P28" s="15">
        <f>IF(tblJobs_EXAMPLE[[#This Row],[Qty]]="","",ROUND(tblJobs_EXAMPLE[[#This Row],[Qty]]/IF(tblJobs_EXAMPLE[[#This Row],[Unit]]="cm",100,1)*tblJobs_EXAMPLE[[#This Row],[S_UnitCost]],SET_ROUND_DP))</f>
        <v>16.8</v>
      </c>
      <c r="Q28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18.98</v>
      </c>
      <c r="R28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8" s="15">
        <f>IF(tblJobs_EXAMPLE[[#This Row],[Paper Cost]]="","",tblJobs_EXAMPLE[[#This Row],[Paper Cost]]+tblJobs_EXAMPLE[[#This Row],[Consumable Cost]]+N(tblJobs_EXAMPLE[[#This Row],[Set-up Cost]]))</f>
        <v>35.78</v>
      </c>
      <c r="T28" s="15">
        <f>IF(tblJobs_EXAMPLE[[#This Row],[Gross Cost]]="","",tblJobs_EXAMPLE[[#This Row],[Gross Cost]]-tblJobs_EXAMPLE[[#This Row],[Chargeable Cost]])</f>
        <v>0</v>
      </c>
      <c r="U28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35.78</v>
      </c>
      <c r="V28" s="35"/>
      <c r="W28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OK</v>
      </c>
      <c r="X28" s="5" t="s">
        <v>292</v>
      </c>
      <c r="Y28" s="5" t="s">
        <v>272</v>
      </c>
      <c r="Z28" s="5"/>
      <c r="AA28" s="49"/>
      <c r="AB28" s="12" t="s">
        <v>181</v>
      </c>
      <c r="AC28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/>
      </c>
      <c r="AD28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8" s="16" t="str">
        <f>IF(tblJobs_EXAMPLE[[#This Row],[Row Type]]&lt;&gt;"Pass","",N(tblJobs_EXAMPLE[[#This Row],[S_SetupCost]]))</f>
        <v/>
      </c>
      <c r="AF28" s="16"/>
      <c r="AG28" s="16" t="s">
        <v>82</v>
      </c>
      <c r="AH28" s="16" t="s">
        <v>94</v>
      </c>
      <c r="AI28" s="16" t="s">
        <v>66</v>
      </c>
      <c r="AJ28" s="16" t="s">
        <v>44</v>
      </c>
      <c r="AK28" s="17">
        <v>0.42</v>
      </c>
      <c r="AL28" s="16">
        <v>594</v>
      </c>
      <c r="AM28" s="16">
        <v>841</v>
      </c>
      <c r="AN28" s="17">
        <v>0.95</v>
      </c>
      <c r="AO28" s="17"/>
      <c r="AP28" s="16"/>
      <c r="AQ28" s="16">
        <v>46284.34375</v>
      </c>
      <c r="AR28" s="16" t="s">
        <v>165</v>
      </c>
      <c r="AS28" s="16">
        <v>1</v>
      </c>
    </row>
    <row r="29" spans="1:45" x14ac:dyDescent="0.35">
      <c r="A29" s="11">
        <v>46284.395833333336</v>
      </c>
      <c r="B29" s="11"/>
      <c r="C29" s="12"/>
      <c r="D29" s="12" t="s">
        <v>67</v>
      </c>
      <c r="E29" s="12" t="s">
        <v>79</v>
      </c>
      <c r="F29" s="49" t="str">
        <f>IF(tblJobs_EXAMPLE[[#This Row],[Row Type]]="Pass","",IF(tblJobs_EXAMPLE[[#This Row],[Job ID]]="","",IF(COUNTIFS(tblJobs_EXAMPLE[Parent],tblJobs_EXAMPLE[[#This Row],[Job ID]])=0,"",COUNTIFS(tblJobs_EXAMPLE[Parent],tblJobs_EXAMPLE[[#This Row],[Job ID]]))))</f>
        <v/>
      </c>
      <c r="G29" s="12"/>
      <c r="H29" s="12" t="s">
        <v>106</v>
      </c>
      <c r="I29" s="20" t="str">
        <f>IF(tblJobs_EXAMPLE[[#This Row],[S_Measure]]="","",IF(tblJobs_EXAMPLE[[#This Row],[S_Measure]]="Sheet","sheets",IF(LOC_RollUnit="Centimetres","cm","metres")))</f>
        <v>metres</v>
      </c>
      <c r="J29" s="13">
        <v>12</v>
      </c>
      <c r="K29" s="36">
        <v>1200</v>
      </c>
      <c r="L29" s="39"/>
      <c r="M29" s="38" t="s">
        <v>129</v>
      </c>
      <c r="N29" s="12" t="s">
        <v>129</v>
      </c>
      <c r="O29" s="21">
        <f>IF(tblJobs_EXAMPLE[[#This Row],[Qty]]="","",IF(tblJobs_EXAMPLE[[#This Row],[S_Measure]]="Sheet",(tblJobs_EXAMPLE[[#This Row],[S_StockWidth_mm]]/1000)*(tblJobs_EXAMPLE[[#This Row],[S_SheetHeight_mm]]/1000)*tblJobs_EXAMPLE[[#This Row],[Qty]],(IF(tblJobs_EXAMPLE[[#This Row],[Print Width mm]]="",tblJobs_EXAMPLE[[#This Row],[S_StockWidth_mm]],tblJobs_EXAMPLE[[#This Row],[Print Width mm]])/1000)*tblJobs_EXAMPLE[[#This Row],[Qty]]/IF(tblJobs_EXAMPLE[[#This Row],[Unit]]="cm",100,1)))</f>
        <v>14.399999999999999</v>
      </c>
      <c r="P29" s="15">
        <f>IF(tblJobs_EXAMPLE[[#This Row],[Qty]]="","",ROUND(tblJobs_EXAMPLE[[#This Row],[Qty]]/IF(tblJobs_EXAMPLE[[#This Row],[Unit]]="cm",100,1)*tblJobs_EXAMPLE[[#This Row],[S_UnitCost]],SET_ROUND_DP))</f>
        <v>105</v>
      </c>
      <c r="Q29" s="15">
        <f>IF(tblJobs_EXAMPLE[[#This Row],[Row Type]]="Pass",tblJobs_EXAMPLE[[#This Row],[H_Ink]],IF(tblJobs_EXAMPLE[[#This Row],[Area m2]]="","",ROUND(tblJobs_EXAMPLE[[#This Row],[Area m2]]*tblJobs_EXAMPLE[[#This Row],[S_ConsRate]],SET_ROUND_DP)+IF(tblJobs_EXAMPLE[[#This Row],[Job ID]]="",0,SUMIFS(tblJobs_EXAMPLE[H_Ink],tblJobs_EXAMPLE[Parent],tblJobs_EXAMPLE[[#This Row],[Job ID]]))))</f>
        <v>41.04</v>
      </c>
      <c r="R29" s="15">
        <f>IF(tblJobs_EXAMPLE[[#This Row],[Row Type]]="Pass",tblJobs_EXAMPLE[[#This Row],[H_Setup]],IF(tblJobs_EXAMPLE[[#This Row],[Area m2]]="","",IF(tblJobs_EXAMPLE[[#This Row],[Job ID]]="",0,SUMIFS(tblJobs_EXAMPLE[H_Setup],tblJobs_EXAMPLE[Parent],tblJobs_EXAMPLE[[#This Row],[Job ID]]))))</f>
        <v>0</v>
      </c>
      <c r="S29" s="15">
        <f>IF(tblJobs_EXAMPLE[[#This Row],[Paper Cost]]="","",tblJobs_EXAMPLE[[#This Row],[Paper Cost]]+tblJobs_EXAMPLE[[#This Row],[Consumable Cost]]+N(tblJobs_EXAMPLE[[#This Row],[Set-up Cost]]))</f>
        <v>146.04</v>
      </c>
      <c r="T29" s="15">
        <f>IF(tblJobs_EXAMPLE[[#This Row],[Gross Cost]]="","",tblJobs_EXAMPLE[[#This Row],[Gross Cost]]-tblJobs_EXAMPLE[[#This Row],[Chargeable Cost]])</f>
        <v>0</v>
      </c>
      <c r="U29" s="15">
        <f>IF(tblJobs_EXAMPLE[[#This Row],[Paper Cost]]="","",IF(tblJobs_EXAMPLE[[#This Row],[Disregard Paper]]="Yes",0,tblJobs_EXAMPLE[[#This Row],[Paper Cost]])+IF(tblJobs_EXAMPLE[[#This Row],[Disregard Consumable]]="Yes",0,tblJobs_EXAMPLE[[#This Row],[Consumable Cost]]+N(tblJobs_EXAMPLE[[#This Row],[Set-up Cost]])))</f>
        <v>146.04</v>
      </c>
      <c r="V29" s="35"/>
      <c r="W29" s="9" t="str">
        <f>IF(AND(tblJobs_EXAMPLE[[#This Row],[Job ID]]="",tblJobs_EXAMPLE[[#This Row],[Row Type]]&lt;&gt;"Pass"),"",IF(tblJobs_EXAMPLE[[#This Row],[H_Issues]]&lt;&gt;"",MID(tblJobs_EXAMPLE[[#This Row],[H_Issues]],3,255),IF(tblJobs_EXAMPLE[[#This Row],[H_Notices]]&lt;&gt;"",MID(tblJobs_EXAMPLE[[#This Row],[H_Notices]],3,255),"OK")))</f>
        <v>Student name or number required; Print width exceeds stock width</v>
      </c>
      <c r="X29" s="5" t="s">
        <v>293</v>
      </c>
      <c r="Y29" s="5" t="s">
        <v>272</v>
      </c>
      <c r="Z29" s="5"/>
      <c r="AA29" s="49"/>
      <c r="AB29" s="12" t="s">
        <v>180</v>
      </c>
      <c r="AC29" s="16" t="str">
        <f>IF(tblJobs_EXAMPLE[[#This Row],[Job ID]]="","",IF(tblJobs_EXAMPLE[[#This Row],[Date/Time]]="","; Date and time required","")&amp;IF(AND(tblJobs_EXAMPLE[[#This Row],[Student Name]]="",tblJobs_EXAMPLE[[#This Row],[Student No]]=""),"; Student name or number required","")&amp;IF(tblJobs_EXAMPLE[[#This Row],[Technician]]="","; Technician required","")&amp;IF(tblJobs_EXAMPLE[[#This Row],[Printer]]="","; Printer required","")&amp;IF(tblJobs_EXAMPLE[[#This Row],[Paper Stock]]="","; Paper stock required","")&amp;IF(tblJobs_EXAMPLE[[#This Row],[Qty]]="","; Quantity required",IF(tblJobs_EXAMPLE[[#This Row],[Qty]]&lt;=0,"; Quantity must be greater than zero",""))&amp;IF(AND(tblJobs_EXAMPLE[[#This Row],[S_Measure]]="Sheet",tblJobs_EXAMPLE[[#This Row],[Qty]]&lt;&gt;"",tblJobs_EXAMPLE[[#This Row],[Qty]]&lt;&gt;INT(tblJobs_EXAMPLE[[#This Row],[Qty]])),"; Sheet quantity must be a whole number","")&amp;IF(AND(tblJobs_EXAMPLE[[#This Row],[S_Measure]]="Sheet",tblJobs_EXAMPLE[[#This Row],[Print Width mm]]&lt;&gt;""),"; Print width does not apply to sheet stock","")&amp;IF(AND(tblJobs_EXAMPLE[[#This Row],[Print Width mm]]&lt;&gt;"",tblJobs_EXAMPLE[[#This Row],[Print Width mm]]&gt;tblJobs_EXAMPLE[[#This Row],[S_StockWidth_mm]]),"; Print width exceeds stock width","")&amp;IF(AND(tblJobs_EXAMPLE[[#This Row],[Paper Stock]]="Supplied (Roll)",tblJobs_EXAMPLE[[#This Row],[Print Width mm]]=""),"; Print width required for student-supplied roll stock","")&amp;IF(AND(tblJobs_EXAMPLE[[#This Row],[Paper Stock]]="Supplied (Sheet)",tblJobs_EXAMPLE[[#This Row],[Sheet size]]=""),"; Sheet size required for student-supplied sheet stock",""))</f>
        <v>; Student name or number required; Print width exceeds stock width</v>
      </c>
      <c r="AD29" s="16" t="str">
        <f>IF(tblJobs_EXAMPLE[[#This Row],[Row Type]]&lt;&gt;"Pass","",IFERROR(ROUND(_xlfn.XLOOKUP(tblJobs_EXAMPLE[[#This Row],[Parent]],tblJobs_EXAMPLE[Job ID],tblJobs_EXAMPLE[Area m2])*N(tblJobs_EXAMPLE[[#This Row],[S_ConsRate]]),SET_ROUND_DP),0))</f>
        <v/>
      </c>
      <c r="AE29" s="16" t="str">
        <f>IF(tblJobs_EXAMPLE[[#This Row],[Row Type]]&lt;&gt;"Pass","",N(tblJobs_EXAMPLE[[#This Row],[S_SetupCost]]))</f>
        <v/>
      </c>
      <c r="AF29" s="16"/>
      <c r="AG29" s="16" t="s">
        <v>78</v>
      </c>
      <c r="AH29" s="16" t="s">
        <v>105</v>
      </c>
      <c r="AI29" s="16" t="s">
        <v>66</v>
      </c>
      <c r="AJ29" s="16" t="s">
        <v>45</v>
      </c>
      <c r="AK29" s="17">
        <v>8.75</v>
      </c>
      <c r="AL29" s="16">
        <v>914</v>
      </c>
      <c r="AM29" s="16"/>
      <c r="AN29" s="17">
        <v>2.85</v>
      </c>
      <c r="AO29" s="17"/>
      <c r="AP29" s="16"/>
      <c r="AQ29" s="16">
        <v>46284.395833333336</v>
      </c>
      <c r="AR29" s="16" t="s">
        <v>165</v>
      </c>
      <c r="AS29" s="16">
        <v>1</v>
      </c>
    </row>
  </sheetData>
  <sheetProtection sheet="1" objects="1" scenarios="1"/>
  <conditionalFormatting sqref="W18:W29">
    <cfRule type="expression" dxfId="0" priority="1" stopIfTrue="1">
      <formula>AND(W18&lt;&gt;"",W18&lt;&gt;"OK")</formula>
    </cfRule>
  </conditionalFormatting>
  <dataValidations count="7">
    <dataValidation type="date" operator="greaterThan" allowBlank="1" showInputMessage="1" showErrorMessage="1" errorTitle="Date and time" error="Date and time the print was produced. Use the Now button to stamp the current date and time." promptTitle="Date and time" prompt="Date and time the print was produced. Use the Now button to stamp the current date and time." sqref="A18:A29" xr:uid="{00000000-0002-0000-0900-000007000000}">
      <formula1>36526</formula1>
    </dataValidation>
    <dataValidation type="list" allowBlank="1" showInputMessage="1" showErrorMessage="1" sqref="N18:N29 M18:M29" xr:uid="{00000000-0002-0000-0900-000003000000}">
      <formula1>"Yes,No"</formula1>
    </dataValidation>
    <dataValidation type="list" showInputMessage="1" showErrorMessage="1" errorTitle="Roll length unit" error="Choose Metres or Centimetres." promptTitle="Roll length unit" prompt="How a roll job's length is typed into Qty on this sheet. Always converted to, and stored as, metres regardless of this setting - Sheet stock is unaffected." sqref="B11" xr:uid="{DDF6FDDC-C744-4D90-987F-9EBAA10EE831}">
      <formula1>"Metres,Centimetres"</formula1>
    </dataValidation>
    <dataValidation type="decimal" operator="greaterThan" showInputMessage="1" showErrorMessage="1" errorTitle="Qty" error="Sheets for sheet stock, metres for roll stock. Must be greater than zero." promptTitle="Qty" prompt="Sheets for sheet stock, metres for roll stock. Must be greater than zero." sqref="J18:J29" xr:uid="{0EB6289D-94A2-4A20-A725-132ACF4AC0B0}">
      <formula1>0</formula1>
    </dataValidation>
    <dataValidation type="decimal" operator="greaterThan" allowBlank="1" showInputMessage="1" showErrorMessage="1" errorTitle="Print width" error="Optional, roll stock only, in millimetres. Leave blank to use the full width of the roll. It must not exceed the stock width." promptTitle="Print width" prompt="Optional, roll stock only, in millimetres. Leave blank to use the full width of the roll. It must not exceed the stock width. Required for 'Supplied (Roll)'." sqref="K18:K29" xr:uid="{1894B910-050C-4C3A-8489-9F7A13C9685D}">
      <formula1>0</formula1>
    </dataValidation>
    <dataValidation type="list" allowBlank="1" showInputMessage="1" showErrorMessage="1" errorTitle="Sheet size" error="Choose one of the standard sizes listed on Settings." promptTitle="Sheet size" prompt="Required only for 'Supplied (Sheet)' - the nearest standard size to the sheet the student brought. Ignored for every other paper stock." sqref="L18:L29" xr:uid="{974A2940-850F-46E7-B729-C14D6A820BB6}">
      <formula1>RNG_STD_SIZES</formula1>
    </dataValidation>
    <dataValidation type="list" allowBlank="1" showInputMessage="1" showErrorMessage="1" errorTitle="Paid" error="Choose Yes or No." promptTitle="Paid" prompt="Whether this chargeable cost has been paid. Blank means not recorded either way and counts as unpaid in totals." sqref="V18:V29" xr:uid="{A827598F-CA17-4532-A2B4-E4329BE2650A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errorTitle="Technician" error="Choose one of the listed options. Inactive technicians are not listed." promptTitle="Technician" prompt="Inactive technicians are not listed." xr:uid="{710AF3BF-8624-41F2-BF0D-146111516F29}">
          <x14:formula1>
            <xm:f>_Work!$G$2:$G$4</xm:f>
          </x14:formula1>
          <xm:sqref>D18:D29</xm:sqref>
        </x14:dataValidation>
        <x14:dataValidation type="list" allowBlank="1" showInputMessage="1" showErrorMessage="1" errorTitle="Paper stock" error="Choose one of the listed options. Every active stock compatible with a printer at this print room. Stocks marked '(unavailable)' are not in a family HP Latex 335 supports - picking one clears the printer instead." promptTitle="Paper stock" prompt="Every active stock compatible with a printer at this print room. Stocks marked '(unavailable)' are not in a family HP Latex 335 supports - picking one clears the printer instead." xr:uid="{C8525DE8-70D2-4939-AE53-09B8E996F529}">
          <x14:formula1>
            <xm:f>_Work!$J$2:$J$12</xm:f>
          </x14:formula1>
          <xm:sqref>H24</xm:sqref>
        </x14:dataValidation>
        <x14:dataValidation type="list" allowBlank="1" showInputMessage="1" showErrorMessage="1" errorTitle="Paper stock" error="Choose one of the listed options. Every active stock compatible with a printer at this print room. Stocks marked '(unavailable)' are not in a family HP DesignJet Z9+ supports - picking one clears the printer instead." promptTitle="Paper stock" prompt="Every active stock compatible with a printer at this print room. Stocks marked '(unavailable)' are not in a family HP DesignJet Z9+ supports - picking one clears the printer instead." xr:uid="{804CCC33-3817-4F3E-94F4-8A56C88B24CB}">
          <x14:formula1>
            <xm:f>_Work!$K$2:$K$12</xm:f>
          </x14:formula1>
          <xm:sqref>H25</xm:sqref>
        </x14:dataValidation>
        <x14:dataValidation type="list" allowBlank="1" showInputMessage="1" showErrorMessage="1" errorTitle="Paper stock" error="Choose one of the listed options. Every active stock compatible with a printer at this print room. Stocks marked '(unavailable)' are not in a family Xerox Versant 180 supports - picking one clears the printer instead." promptTitle="Paper stock" prompt="Every active stock compatible with a printer at this print room. Stocks marked '(unavailable)' are not in a family Xerox Versant 180 supports - picking one clears the printer instead." xr:uid="{4A0AEE34-9D74-46CA-A391-1496C855AAAF}">
          <x14:formula1>
            <xm:f>_Work!$L$2:$L$12</xm:f>
          </x14:formula1>
          <xm:sqref>H18 H22:H23 H26 H28</xm:sqref>
        </x14:dataValidation>
        <x14:dataValidation type="list" allowBlank="1" showInputMessage="1" showErrorMessage="1" errorTitle="Paper stock" error="Choose one of the listed options. Every active stock compatible with a printer at this print room. Stocks marked '(unavailable)' are not in a family Epson SureColor P9500 supports - picking one clears the printer instead." promptTitle="Paper stock" prompt="Every active stock compatible with a printer at this print room. Stocks marked '(unavailable)' are not in a family Epson SureColor P9500 supports - picking one clears the printer instead." xr:uid="{32B928B8-1766-4CED-B621-7AB9984EA332}">
          <x14:formula1>
            <xm:f>_Work!$M$2:$M$12</xm:f>
          </x14:formula1>
          <xm:sqref>H19:H21 H27 H29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Gloss 200gsm SRA3 sheet' - picking one clears the paper stock instead." promptTitle="Printer" prompt="Every active printer permitted at this print room. Printers marked '(unavailable)' don't support 'Gloss 200gsm SRA3 sheet' - picking one clears the paper stock instead." xr:uid="{3D72609D-7821-40D1-B4E0-9A17A762D7B9}">
          <x14:formula1>
            <xm:f>_Work!$N$2:$N$4</xm:f>
          </x14:formula1>
          <xm:sqref>E18:G18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Uncoated 120gsm A3 sheet' - picking one clears the paper stock instead." promptTitle="Printer" prompt="Every active printer permitted at this print room. Printers marked '(unavailable)' don't support 'Uncoated 120gsm A3 sheet' - picking one clears the paper stock instead." xr:uid="{ADA2925B-D9CE-483D-A3CB-F6887904EC42}">
          <x14:formula1>
            <xm:f>_Work!$O$2:$O$4</xm:f>
          </x14:formula1>
          <xm:sqref>E22:G22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Gloss offcut 320x450 sheet' - picking one clears the paper stock instead." promptTitle="Printer" prompt="Every active printer permitted at this print room. Printers marked '(unavailable)' don't support 'Gloss offcut 320x450 sheet' - picking one clears the paper stock instead." xr:uid="{012D11A0-C356-4599-BC4D-DC0EE936279D}">
          <x14:formula1>
            <xm:f>_Work!$P$2:$P$4</xm:f>
          </x14:formula1>
          <xm:sqref>E23:G23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Vinyl self-adhesive 1370mm roll' - picking one clears the paper stock instead." promptTitle="Printer" prompt="Every active printer permitted at this print room. Printers marked '(unavailable)' don't support 'Vinyl self-adhesive 1370mm roll' - picking one clears the paper stock instead." xr:uid="{8B127D0B-FEBC-4EAD-9A1C-1213E7673F7A}">
          <x14:formula1>
            <xm:f>_Work!$Q$2:$Q$4</xm:f>
          </x14:formula1>
          <xm:sqref>E24:G24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Satin photo 610mm roll' - picking one clears the paper stock instead." promptTitle="Printer" prompt="Every active printer permitted at this print room. Printers marked '(unavailable)' don't support 'Satin photo 610mm roll' - picking one clears the paper stock instead." xr:uid="{9C71BD25-2544-420E-9FD9-6BBB323309B0}">
          <x14:formula1>
            <xm:f>_Work!$R$2:$R$4</xm:f>
          </x14:formula1>
          <xm:sqref>E21:G21 E25:G25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Matte 180gsm A2 sheet' - picking one clears the paper stock instead." promptTitle="Printer" prompt="Every active printer permitted at this print room. Printers marked '(unavailable)' don't support 'Matte 180gsm A2 sheet' - picking one clears the paper stock instead." xr:uid="{67197FBA-1C2E-4D3C-ACB9-817976B15DF1}">
          <x14:formula1>
            <xm:f>_Work!$S$2:$S$4</xm:f>
          </x14:formula1>
          <xm:sqref>E26:G26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Matte 180gsm 1067mm roll' - picking one clears the paper stock instead." promptTitle="Printer" prompt="Every active printer permitted at this print room. Printers marked '(unavailable)' don't support 'Matte 180gsm 1067mm roll' - picking one clears the paper stock instead." xr:uid="{8CFA56E2-9A8D-460B-A5B6-7BDFEC59376E}">
          <x14:formula1>
            <xm:f>_Work!$T$2:$T$4</xm:f>
          </x14:formula1>
          <xm:sqref>E27:G27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Matte 180gsm A1 sheet' - picking one clears the paper stock instead." promptTitle="Printer" prompt="Every active printer permitted at this print room. Printers marked '(unavailable)' don't support 'Matte 180gsm A1 sheet' - picking one clears the paper stock instead." xr:uid="{D369D7DE-B42A-4E5A-915B-58A90399AD45}">
          <x14:formula1>
            <xm:f>_Work!$U$2:$U$4</xm:f>
          </x14:formula1>
          <xm:sqref>E28:G28</xm:sqref>
        </x14:dataValidation>
        <x14:dataValidation type="list" allowBlank="1" showInputMessage="1" showErrorMessage="1" errorTitle="Printer" error="Choose one of the listed options. Every active printer permitted at this print room. Printers marked '(unavailable)' don't support 'Canvas 914mm roll' - picking one clears the paper stock instead." promptTitle="Printer" prompt="Every active printer permitted at this print room. Printers marked '(unavailable)' don't support 'Canvas 914mm roll' - picking one clears the paper stock instead." xr:uid="{C4698F5D-DDE1-4E72-8DD1-0CFA5F7A883D}">
          <x14:formula1>
            <xm:f>_Work!$V$2:$V$4</xm:f>
          </x14:formula1>
          <xm:sqref>E19:G20 E29:G29</xm:sqref>
        </x14:dataValidation>
        <x14:dataValidation type="list" allowBlank="1" showInputMessage="1" showErrorMessage="1" errorTitle="Default technician" error="Choose one of the listed options. Pre-fills each new print job's Technician until Clear defaults is used." promptTitle="Default technician" prompt="Pre-fills each new print job's Technician until Clear defaults is used." xr:uid="{4692C48D-8984-4261-BBD5-05992933E720}">
          <x14:formula1>
            <xm:f>_Work!$G$2:$G$4</xm:f>
          </x14:formula1>
          <xm:sqref>B4</xm:sqref>
        </x14:dataValidation>
        <x14:dataValidation type="list" allowBlank="1" showInputMessage="1" showErrorMessage="1" errorTitle="Paper stock" error="Choose one of the listed options. Every active stock compatible with a printer at this print room." promptTitle="Paper stock" prompt="Every active stock compatible with a printer at this print room." xr:uid="{A7A0E1B4-A8AC-413E-87D0-F11BD62E60D6}">
          <x14:formula1>
            <xm:f>_Work!$H$2:$H$12</xm:f>
          </x14:formula1>
          <xm:sqref>B6</xm:sqref>
        </x14:dataValidation>
        <x14:dataValidation type="list" allowBlank="1" showInputMessage="1" showErrorMessage="1" errorTitle="Printer" error="Choose one of the listed options. Every active printer permitted at this print room." promptTitle="Printer" prompt="Every active printer permitted at this print room." xr:uid="{F880BA63-A334-4F88-A95C-6BF163632FD8}">
          <x14:formula1>
            <xm:f>_Work!$I$2:$I$4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9"/>
  <sheetViews>
    <sheetView showGridLines="0" workbookViewId="0"/>
  </sheetViews>
  <sheetFormatPr defaultRowHeight="14.5" x14ac:dyDescent="0.35"/>
  <cols>
    <col min="1" max="1" width="10.7265625" customWidth="1"/>
    <col min="2" max="2" width="30.7265625" customWidth="1"/>
    <col min="3" max="3" width="28.7265625" customWidth="1"/>
    <col min="4" max="4" width="9.7265625" customWidth="1"/>
  </cols>
  <sheetData>
    <row r="1" spans="1:4" ht="21" x14ac:dyDescent="0.35">
      <c r="A1" s="1" t="s">
        <v>62</v>
      </c>
    </row>
    <row r="2" spans="1:4" x14ac:dyDescent="0.35">
      <c r="A2" s="2" t="s">
        <v>63</v>
      </c>
    </row>
    <row r="6" spans="1:4" x14ac:dyDescent="0.35">
      <c r="A6" s="4" t="s">
        <v>64</v>
      </c>
      <c r="B6" s="4" t="s">
        <v>65</v>
      </c>
      <c r="C6" s="4" t="s">
        <v>19</v>
      </c>
      <c r="D6" s="4" t="s">
        <v>36</v>
      </c>
    </row>
    <row r="7" spans="1:4" x14ac:dyDescent="0.35">
      <c r="A7" s="30" t="s">
        <v>245</v>
      </c>
      <c r="B7" s="24" t="s">
        <v>67</v>
      </c>
      <c r="C7" s="24" t="s">
        <v>20</v>
      </c>
      <c r="D7" s="24" t="s">
        <v>38</v>
      </c>
    </row>
    <row r="8" spans="1:4" x14ac:dyDescent="0.35">
      <c r="A8" s="30" t="s">
        <v>246</v>
      </c>
      <c r="B8" s="24" t="s">
        <v>69</v>
      </c>
      <c r="C8" s="24" t="s">
        <v>20</v>
      </c>
      <c r="D8" s="24" t="s">
        <v>38</v>
      </c>
    </row>
    <row r="9" spans="1:4" x14ac:dyDescent="0.35">
      <c r="A9" s="30" t="s">
        <v>247</v>
      </c>
      <c r="B9" s="24" t="s">
        <v>71</v>
      </c>
      <c r="C9" s="24" t="s">
        <v>72</v>
      </c>
      <c r="D9" s="24" t="s">
        <v>38</v>
      </c>
    </row>
  </sheetData>
  <sheetProtection sheet="1" objects="1" scenarios="1"/>
  <dataValidations count="1">
    <dataValidation type="list" allowBlank="1" showInputMessage="1" showErrorMessage="1" errorTitle="Active" error="Set to No to retire a technician. Existing records keep working; the name stops appearing for new print jobs." promptTitle="Active" prompt="Set to No to retire a technician. Existing records keep working; the name stops appearing for new print jobs." sqref="D7:D2001" xr:uid="{00000000-0002-0000-01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0"/>
  <sheetViews>
    <sheetView showGridLines="0" workbookViewId="0">
      <selection activeCell="F6" sqref="F6:F10"/>
    </sheetView>
  </sheetViews>
  <sheetFormatPr defaultRowHeight="14.5" x14ac:dyDescent="0.35"/>
  <cols>
    <col min="1" max="1" width="11.7265625" customWidth="1"/>
    <col min="2" max="2" width="30.7265625" customWidth="1"/>
    <col min="3" max="3" width="17.7265625" customWidth="1"/>
    <col min="4" max="4" width="13.7265625" customWidth="1"/>
    <col min="5" max="6" width="14.6328125" customWidth="1"/>
    <col min="7" max="8" width="14.7265625" customWidth="1"/>
    <col min="9" max="9" width="9.7265625" customWidth="1"/>
  </cols>
  <sheetData>
    <row r="1" spans="1:9" ht="21" x14ac:dyDescent="0.35">
      <c r="A1" s="1" t="s">
        <v>73</v>
      </c>
    </row>
    <row r="2" spans="1:9" x14ac:dyDescent="0.35">
      <c r="A2" s="2" t="s">
        <v>74</v>
      </c>
    </row>
    <row r="4" spans="1:9" x14ac:dyDescent="0.35">
      <c r="H4" s="2" t="s">
        <v>208</v>
      </c>
    </row>
    <row r="5" spans="1:9" x14ac:dyDescent="0.35">
      <c r="H5" s="2"/>
    </row>
    <row r="6" spans="1:9" ht="43.5" x14ac:dyDescent="0.35">
      <c r="A6" s="4" t="s">
        <v>75</v>
      </c>
      <c r="B6" s="4" t="s">
        <v>76</v>
      </c>
      <c r="C6" s="4" t="s">
        <v>57</v>
      </c>
      <c r="D6" s="4" t="s">
        <v>77</v>
      </c>
      <c r="E6" s="4" t="s">
        <v>273</v>
      </c>
      <c r="F6" s="4" t="s">
        <v>274</v>
      </c>
      <c r="G6" s="23" t="s">
        <v>206</v>
      </c>
      <c r="H6" s="23" t="s">
        <v>207</v>
      </c>
      <c r="I6" s="4" t="s">
        <v>36</v>
      </c>
    </row>
    <row r="7" spans="1:9" x14ac:dyDescent="0.35">
      <c r="A7" s="30" t="s">
        <v>248</v>
      </c>
      <c r="B7" s="24" t="s">
        <v>79</v>
      </c>
      <c r="C7" s="24" t="s">
        <v>58</v>
      </c>
      <c r="D7" s="44">
        <v>2.85</v>
      </c>
      <c r="E7" s="24" t="s">
        <v>275</v>
      </c>
      <c r="F7" s="44"/>
      <c r="G7" s="45">
        <v>1370</v>
      </c>
      <c r="H7" s="47"/>
      <c r="I7" s="24" t="s">
        <v>38</v>
      </c>
    </row>
    <row r="8" spans="1:9" x14ac:dyDescent="0.35">
      <c r="A8" s="30" t="s">
        <v>249</v>
      </c>
      <c r="B8" s="24" t="s">
        <v>81</v>
      </c>
      <c r="C8" s="24" t="s">
        <v>58</v>
      </c>
      <c r="D8" s="44">
        <v>2.4</v>
      </c>
      <c r="E8" s="24" t="s">
        <v>275</v>
      </c>
      <c r="F8" s="44"/>
      <c r="G8" s="46">
        <v>610</v>
      </c>
      <c r="H8" s="47"/>
      <c r="I8" s="24" t="s">
        <v>38</v>
      </c>
    </row>
    <row r="9" spans="1:9" x14ac:dyDescent="0.35">
      <c r="A9" s="30" t="s">
        <v>250</v>
      </c>
      <c r="B9" s="24" t="s">
        <v>83</v>
      </c>
      <c r="C9" s="24" t="s">
        <v>59</v>
      </c>
      <c r="D9" s="44">
        <v>0.95</v>
      </c>
      <c r="E9" s="24" t="s">
        <v>275</v>
      </c>
      <c r="F9" s="44"/>
      <c r="G9" s="46"/>
      <c r="H9" s="47" t="s">
        <v>51</v>
      </c>
      <c r="I9" s="24" t="s">
        <v>38</v>
      </c>
    </row>
    <row r="10" spans="1:9" x14ac:dyDescent="0.35">
      <c r="A10" s="30" t="s">
        <v>251</v>
      </c>
      <c r="B10" s="24" t="s">
        <v>85</v>
      </c>
      <c r="C10" s="24" t="s">
        <v>61</v>
      </c>
      <c r="D10" s="44">
        <v>1.75</v>
      </c>
      <c r="E10" s="24" t="s">
        <v>275</v>
      </c>
      <c r="F10" s="44"/>
      <c r="G10" s="46">
        <v>1370</v>
      </c>
      <c r="H10" s="47"/>
      <c r="I10" s="24" t="s">
        <v>38</v>
      </c>
    </row>
  </sheetData>
  <sheetProtection sheet="1" objects="1" scenarios="1"/>
  <phoneticPr fontId="11" type="noConversion"/>
  <dataValidations count="7">
    <dataValidation type="list" allowBlank="1" showInputMessage="1" showErrorMessage="1" sqref="C7:C2001" xr:uid="{00000000-0002-0000-0200-000000000000}">
      <formula1>lstConsumables</formula1>
    </dataValidation>
    <dataValidation type="decimal" operator="greaterThanOrEqual" showInputMessage="1" showErrorMessage="1" errorTitle="Consumable cost" error="Estimated consumable cost to print one square metre, including typical coverage. Must be zero or more." promptTitle="Consumable cost" prompt="Estimated consumable cost to print one square metre, including typical coverage. Must be zero or more." sqref="D7:D2001" xr:uid="{00000000-0002-0000-0200-000001000000}">
      <formula1>0</formula1>
    </dataValidation>
    <dataValidation type="decimal" operator="greaterThanOrEqual" allowBlank="1" showInputMessage="1" showErrorMessage="1" errorTitle="Max roll width mm" error="Enter 0 or more, in millimetres." promptTitle="Max roll width mm" prompt="The widest roll stock this printer can take, in millimetres. Leave blank if this printer cannot print on roll stock." sqref="G7:G10" xr:uid="{C0A2668E-6A17-4354-874C-F8907F30987B}">
      <formula1>0</formula1>
    </dataValidation>
    <dataValidation type="list" allowBlank="1" showInputMessage="1" showErrorMessage="1" errorTitle="Max sheet size" error="Choose one of the standard sizes listed on Settings." promptTitle="Max sheet size" prompt="The largest standard sheet size this printer can take. Leave blank if this printer cannot print on sheet stock." sqref="H7:H10" xr:uid="{B526154C-BEC4-4000-8C38-838E3A63AF21}">
      <formula1>RNG_STD_SIZES</formula1>
    </dataValidation>
    <dataValidation type="list" allowBlank="1" showInputMessage="1" showErrorMessage="1" sqref="G11:G2001 I7:I10" xr:uid="{00000000-0002-0000-0200-000002000000}">
      <formula1>"Yes,No"</formula1>
    </dataValidation>
    <dataValidation type="list" allowBlank="1" showInputMessage="1" showErrorMessage="1" errorTitle="Colour mode" error="Choose single pass or multi-pass." promptTitle="Colour mode" prompt="single pass: one flat Cost per m2, as always. multi-pass (a RISO duplicator, say): each job is printed in several colour passes, costed from the Consumables sheet, and each pass costs the Template cost to set up." sqref="E7:E10" xr:uid="{C7C9C186-E3F4-4132-81AC-1EF70CDD38BD}">
      <formula1>"single pass,multi-pass"</formula1>
    </dataValidation>
    <dataValidation type="decimal" operator="greaterThanOrEqual" allowBlank="1" showInputMessage="1" showErrorMessage="1" errorTitle="Template cost" error="Enter a number, zero or more." promptTitle="Template cost" prompt="Multi-pass printers only: what it costs to set up one colour pass (making a RISO master, for example). Charged once per pass, however many copies are run. Leave blank for none." sqref="F7:F10" xr:uid="{4A672B3A-63B2-4432-A54D-71083F4BA2FB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15"/>
  <sheetViews>
    <sheetView showGridLines="0" workbookViewId="0">
      <selection activeCell="G5" sqref="G5"/>
    </sheetView>
  </sheetViews>
  <sheetFormatPr defaultRowHeight="14.5" x14ac:dyDescent="0.35"/>
  <cols>
    <col min="1" max="1" width="15.7265625" customWidth="1"/>
    <col min="2" max="2" width="34.7265625" customWidth="1"/>
    <col min="3" max="3" width="17.7265625" customWidth="1"/>
    <col min="4" max="4" width="11.7265625" customWidth="1"/>
    <col min="5" max="5" width="14.7265625" customWidth="1"/>
    <col min="6" max="6" width="11.7265625" customWidth="1"/>
    <col min="7" max="9" width="10.7265625" customWidth="1"/>
    <col min="10" max="10" width="14.7265625" customWidth="1"/>
    <col min="11" max="11" width="9.7265625" customWidth="1"/>
    <col min="12" max="12" width="14.7265625" customWidth="1"/>
  </cols>
  <sheetData>
    <row r="1" spans="1:13" ht="21" x14ac:dyDescent="0.35">
      <c r="A1" s="1" t="s">
        <v>86</v>
      </c>
    </row>
    <row r="2" spans="1:13" x14ac:dyDescent="0.35">
      <c r="A2" s="2" t="s">
        <v>87</v>
      </c>
    </row>
    <row r="4" spans="1:13" x14ac:dyDescent="0.35">
      <c r="M4" s="2" t="s">
        <v>114</v>
      </c>
    </row>
    <row r="5" spans="1:13" x14ac:dyDescent="0.35">
      <c r="M5" s="2"/>
    </row>
    <row r="6" spans="1:13" ht="43.5" x14ac:dyDescent="0.35">
      <c r="A6" s="4" t="s">
        <v>88</v>
      </c>
      <c r="B6" s="4" t="s">
        <v>89</v>
      </c>
      <c r="C6" s="4" t="s">
        <v>35</v>
      </c>
      <c r="D6" s="4" t="s">
        <v>90</v>
      </c>
      <c r="E6" s="4" t="s">
        <v>91</v>
      </c>
      <c r="F6" s="4" t="s">
        <v>205</v>
      </c>
      <c r="G6" s="4" t="s">
        <v>48</v>
      </c>
      <c r="H6" s="4" t="s">
        <v>49</v>
      </c>
      <c r="I6" s="4" t="s">
        <v>92</v>
      </c>
      <c r="J6" s="4" t="s">
        <v>93</v>
      </c>
      <c r="K6" s="4" t="s">
        <v>36</v>
      </c>
      <c r="L6" s="22" t="s">
        <v>209</v>
      </c>
    </row>
    <row r="7" spans="1:13" x14ac:dyDescent="0.35">
      <c r="A7" s="30" t="s">
        <v>252</v>
      </c>
      <c r="B7" s="24" t="s">
        <v>95</v>
      </c>
      <c r="C7" s="24" t="s">
        <v>40</v>
      </c>
      <c r="D7" s="24" t="s">
        <v>44</v>
      </c>
      <c r="E7" s="24" t="s">
        <v>96</v>
      </c>
      <c r="F7" s="24" t="s">
        <v>51</v>
      </c>
      <c r="G7" s="8">
        <v>594</v>
      </c>
      <c r="H7" s="8">
        <v>841</v>
      </c>
      <c r="I7" s="10">
        <v>0.42</v>
      </c>
      <c r="J7" s="20" t="str">
        <f>IF(tblPapers[[#This Row],[Measure]]="","",IF(tblPapers[[#This Row],[Measure]]="Sheet","£ per sheet","£ per metre"))</f>
        <v>£ per sheet</v>
      </c>
      <c r="K7" s="24" t="s">
        <v>38</v>
      </c>
      <c r="L7" s="25" t="s">
        <v>129</v>
      </c>
    </row>
    <row r="8" spans="1:13" x14ac:dyDescent="0.35">
      <c r="A8" s="30" t="s">
        <v>253</v>
      </c>
      <c r="B8" s="24" t="s">
        <v>98</v>
      </c>
      <c r="C8" s="24" t="s">
        <v>40</v>
      </c>
      <c r="D8" s="24" t="s">
        <v>44</v>
      </c>
      <c r="E8" s="24" t="s">
        <v>96</v>
      </c>
      <c r="F8" s="24" t="s">
        <v>52</v>
      </c>
      <c r="G8" s="8">
        <v>420</v>
      </c>
      <c r="H8" s="8">
        <v>594</v>
      </c>
      <c r="I8" s="10">
        <v>0.24</v>
      </c>
      <c r="J8" s="20" t="str">
        <f>IF(tblPapers[[#This Row],[Measure]]="","",IF(tblPapers[[#This Row],[Measure]]="Sheet","£ per sheet","£ per metre"))</f>
        <v>£ per sheet</v>
      </c>
      <c r="K8" s="24" t="s">
        <v>38</v>
      </c>
      <c r="L8" s="25" t="s">
        <v>129</v>
      </c>
    </row>
    <row r="9" spans="1:13" x14ac:dyDescent="0.35">
      <c r="A9" s="30" t="s">
        <v>254</v>
      </c>
      <c r="B9" s="24" t="s">
        <v>100</v>
      </c>
      <c r="C9" s="24" t="s">
        <v>39</v>
      </c>
      <c r="D9" s="24" t="s">
        <v>44</v>
      </c>
      <c r="E9" s="24" t="s">
        <v>96</v>
      </c>
      <c r="F9" s="24" t="s">
        <v>55</v>
      </c>
      <c r="G9" s="8">
        <v>320</v>
      </c>
      <c r="H9" s="8">
        <v>450</v>
      </c>
      <c r="I9" s="10">
        <v>0.31</v>
      </c>
      <c r="J9" s="20" t="str">
        <f>IF(tblPapers[[#This Row],[Measure]]="","",IF(tblPapers[[#This Row],[Measure]]="Sheet","£ per sheet","£ per metre"))</f>
        <v>£ per sheet</v>
      </c>
      <c r="K9" s="24" t="s">
        <v>38</v>
      </c>
      <c r="L9" s="25" t="s">
        <v>129</v>
      </c>
    </row>
    <row r="10" spans="1:13" x14ac:dyDescent="0.35">
      <c r="A10" s="30" t="s">
        <v>255</v>
      </c>
      <c r="B10" s="24" t="s">
        <v>102</v>
      </c>
      <c r="C10" s="24" t="s">
        <v>43</v>
      </c>
      <c r="D10" s="24" t="s">
        <v>44</v>
      </c>
      <c r="E10" s="24" t="s">
        <v>96</v>
      </c>
      <c r="F10" s="24" t="s">
        <v>53</v>
      </c>
      <c r="G10" s="8">
        <v>297</v>
      </c>
      <c r="H10" s="8">
        <v>420</v>
      </c>
      <c r="I10" s="10">
        <v>0.09</v>
      </c>
      <c r="J10" s="20" t="str">
        <f>IF(tblPapers[[#This Row],[Measure]]="","",IF(tblPapers[[#This Row],[Measure]]="Sheet","£ per sheet","£ per metre"))</f>
        <v>£ per sheet</v>
      </c>
      <c r="K10" s="24" t="s">
        <v>38</v>
      </c>
      <c r="L10" s="25" t="s">
        <v>129</v>
      </c>
    </row>
    <row r="11" spans="1:13" x14ac:dyDescent="0.35">
      <c r="A11" s="30" t="s">
        <v>256</v>
      </c>
      <c r="B11" s="24" t="s">
        <v>104</v>
      </c>
      <c r="C11" s="24" t="s">
        <v>42</v>
      </c>
      <c r="D11" s="24" t="s">
        <v>45</v>
      </c>
      <c r="E11" s="24" t="s">
        <v>45</v>
      </c>
      <c r="F11" s="24"/>
      <c r="G11" s="8">
        <v>610</v>
      </c>
      <c r="H11" s="8"/>
      <c r="I11" s="10">
        <v>3.1</v>
      </c>
      <c r="J11" s="20" t="str">
        <f>IF(tblPapers[[#This Row],[Measure]]="","",IF(tblPapers[[#This Row],[Measure]]="Sheet","£ per sheet","£ per metre"))</f>
        <v>£ per metre</v>
      </c>
      <c r="K11" s="24" t="s">
        <v>38</v>
      </c>
      <c r="L11" s="25" t="s">
        <v>129</v>
      </c>
    </row>
    <row r="12" spans="1:13" x14ac:dyDescent="0.35">
      <c r="A12" s="30" t="s">
        <v>257</v>
      </c>
      <c r="B12" s="24" t="s">
        <v>106</v>
      </c>
      <c r="C12" s="24" t="s">
        <v>41</v>
      </c>
      <c r="D12" s="24" t="s">
        <v>45</v>
      </c>
      <c r="E12" s="24" t="s">
        <v>45</v>
      </c>
      <c r="F12" s="24"/>
      <c r="G12" s="8">
        <v>914</v>
      </c>
      <c r="H12" s="8"/>
      <c r="I12" s="10">
        <v>8.75</v>
      </c>
      <c r="J12" s="20" t="str">
        <f>IF(tblPapers[[#This Row],[Measure]]="","",IF(tblPapers[[#This Row],[Measure]]="Sheet","£ per sheet","£ per metre"))</f>
        <v>£ per metre</v>
      </c>
      <c r="K12" s="24" t="s">
        <v>38</v>
      </c>
      <c r="L12" s="25" t="s">
        <v>129</v>
      </c>
    </row>
    <row r="13" spans="1:13" x14ac:dyDescent="0.35">
      <c r="A13" s="30" t="s">
        <v>258</v>
      </c>
      <c r="B13" s="24" t="s">
        <v>108</v>
      </c>
      <c r="C13" s="24" t="s">
        <v>37</v>
      </c>
      <c r="D13" s="24" t="s">
        <v>45</v>
      </c>
      <c r="E13" s="24" t="s">
        <v>45</v>
      </c>
      <c r="F13" s="24"/>
      <c r="G13" s="8">
        <v>1370</v>
      </c>
      <c r="H13" s="8"/>
      <c r="I13" s="10">
        <v>11.4</v>
      </c>
      <c r="J13" s="20" t="str">
        <f>IF(tblPapers[[#This Row],[Measure]]="","",IF(tblPapers[[#This Row],[Measure]]="Sheet","£ per sheet","£ per metre"))</f>
        <v>£ per metre</v>
      </c>
      <c r="K13" s="24" t="s">
        <v>38</v>
      </c>
      <c r="L13" s="25" t="s">
        <v>129</v>
      </c>
    </row>
    <row r="14" spans="1:13" x14ac:dyDescent="0.35">
      <c r="A14" s="30" t="s">
        <v>259</v>
      </c>
      <c r="B14" s="24" t="s">
        <v>110</v>
      </c>
      <c r="C14" s="24" t="s">
        <v>40</v>
      </c>
      <c r="D14" s="24" t="s">
        <v>45</v>
      </c>
      <c r="E14" s="24" t="s">
        <v>45</v>
      </c>
      <c r="F14" s="24"/>
      <c r="G14" s="8">
        <v>1067</v>
      </c>
      <c r="H14" s="8"/>
      <c r="I14" s="10">
        <v>5.6</v>
      </c>
      <c r="J14" s="20" t="str">
        <f>IF(tblPapers[[#This Row],[Measure]]="","",IF(tblPapers[[#This Row],[Measure]]="Sheet","£ per sheet","£ per metre"))</f>
        <v>£ per metre</v>
      </c>
      <c r="K14" s="24" t="s">
        <v>38</v>
      </c>
      <c r="L14" s="25" t="s">
        <v>129</v>
      </c>
    </row>
    <row r="15" spans="1:13" x14ac:dyDescent="0.35">
      <c r="A15" s="30" t="s">
        <v>260</v>
      </c>
      <c r="B15" s="24" t="s">
        <v>112</v>
      </c>
      <c r="C15" s="24" t="s">
        <v>39</v>
      </c>
      <c r="D15" s="24" t="s">
        <v>44</v>
      </c>
      <c r="E15" s="24" t="s">
        <v>113</v>
      </c>
      <c r="F15" s="24"/>
      <c r="G15" s="8">
        <v>320</v>
      </c>
      <c r="H15" s="8">
        <v>450</v>
      </c>
      <c r="I15" s="10">
        <v>0.18</v>
      </c>
      <c r="J15" s="20" t="str">
        <f>IF(tblPapers[[#This Row],[Measure]]="","",IF(tblPapers[[#This Row],[Measure]]="Sheet","£ per sheet","£ per metre"))</f>
        <v>£ per sheet</v>
      </c>
      <c r="K15" s="24" t="s">
        <v>38</v>
      </c>
      <c r="L15" s="25" t="s">
        <v>129</v>
      </c>
    </row>
  </sheetData>
  <sheetProtection sheet="1" objects="1" scenarios="1"/>
  <dataValidations count="9">
    <dataValidation type="list" allowBlank="1" showInputMessage="1" showErrorMessage="1" errorTitle="Supplied by student" error="Choose Yes or No." promptTitle="Supplied by student" prompt="Yes only for the two 'Supplied' catalogue rows - paper cost always computes to zero for these regardless of Cost." sqref="L7:L15" xr:uid="{2ED70CBA-D9C3-4CB5-A147-78652DAACDC7}">
      <formula1>"Yes,No"</formula1>
    </dataValidation>
    <dataValidation type="list" allowBlank="1" showInputMessage="1" showErrorMessage="1" sqref="C7:C2001" xr:uid="{00000000-0002-0000-0300-000000000000}">
      <formula1>lstPaperTypes</formula1>
    </dataValidation>
    <dataValidation type="list" allowBlank="1" showInputMessage="1" showErrorMessage="1" errorTitle="Measure" error="Sheet stock is counted in sheets; roll stock is counted in metres. This choice drives how the workbook measures and prices the stock." promptTitle="Measure" prompt="Sheet stock is counted in sheets; roll stock is counted in metres. This choice drives how the workbook measures and prices the stock." sqref="D7:D2001" xr:uid="{00000000-0002-0000-0300-000001000000}">
      <formula1>"Sheet,Roll"</formula1>
    </dataValidation>
    <dataValidation type="list" allowBlank="1" showInputMessage="1" showErrorMessage="1" errorTitle="Size mode" error="Standard fills the size from the standard sizes list. Custom sheet takes width and height directly. Roll takes the roll width only." promptTitle="Size mode" prompt="Standard fills the size from the standard sizes list. Custom sheet takes width and height directly. Roll takes the roll width only." sqref="E7:E2001" xr:uid="{00000000-0002-0000-0300-000002000000}">
      <formula1>"Standard,Custom sheet,Roll"</formula1>
    </dataValidation>
    <dataValidation type="list" allowBlank="1" showInputMessage="1" showErrorMessage="1" sqref="F7:F2001" xr:uid="{00000000-0002-0000-0300-000003000000}">
      <formula1>lstStandardSizes</formula1>
    </dataValidation>
    <dataValidation type="decimal" operator="greaterThan" allowBlank="1" showInputMessage="1" showErrorMessage="1" errorTitle="Dimension" error="Enter the size in millimetres. For roll stock, enter the roll width only." promptTitle="Dimension" prompt="Enter the size in millimetres. For roll stock, enter the roll width only." sqref="G7:G2001" xr:uid="{00000000-0002-0000-0300-000004000000}">
      <formula1>0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H7:H2001" xr:uid="{00000000-0002-0000-0300-000005000000}">
      <formula1>0</formula1>
    </dataValidation>
    <dataValidation type="decimal" operator="greaterThan" allowBlank="1" showInputMessage="1" showErrorMessage="1" errorTitle="Cost" error="Cost per sheet for sheet stock, or cost per metre for roll stock. The Cost unit column shows which applies." promptTitle="Cost" prompt="Cost per sheet for sheet stock, or cost per metre for roll stock. The Cost unit column shows which applies." sqref="I7:I2001" xr:uid="{00000000-0002-0000-0300-000006000000}">
      <formula1>0</formula1>
    </dataValidation>
    <dataValidation type="list" allowBlank="1" showInputMessage="1" showErrorMessage="1" sqref="K7:K2001" xr:uid="{00000000-0002-0000-0300-000007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9"/>
  <sheetViews>
    <sheetView showGridLines="0" tabSelected="1" topLeftCell="C1" workbookViewId="0">
      <selection activeCell="C8" sqref="C8"/>
    </sheetView>
  </sheetViews>
  <sheetFormatPr defaultRowHeight="14.5" x14ac:dyDescent="0.35"/>
  <cols>
    <col min="1" max="1" width="12.7265625" customWidth="1"/>
    <col min="2" max="2" width="26.7265625" customWidth="1"/>
    <col min="3" max="3" width="20.7265625" customWidth="1"/>
    <col min="4" max="4" width="60.7265625" customWidth="1"/>
    <col min="6" max="6" width="22.7265625" customWidth="1"/>
    <col min="7" max="7" width="9.7265625" customWidth="1"/>
    <col min="9" max="9" width="12.7265625" customWidth="1"/>
    <col min="10" max="11" width="11.7265625" customWidth="1"/>
    <col min="13" max="13" width="18.7265625" customWidth="1"/>
    <col min="14" max="14" width="9.7265625" customWidth="1"/>
    <col min="16" max="16" width="20.7265625" customWidth="1"/>
  </cols>
  <sheetData>
    <row r="1" spans="1:16" ht="21" x14ac:dyDescent="0.35">
      <c r="A1" s="1" t="s">
        <v>0</v>
      </c>
    </row>
    <row r="2" spans="1:16" x14ac:dyDescent="0.35">
      <c r="A2" s="2" t="s">
        <v>1</v>
      </c>
      <c r="P2" s="3"/>
    </row>
    <row r="3" spans="1:16" x14ac:dyDescent="0.35">
      <c r="A3" s="2"/>
      <c r="P3" s="3"/>
    </row>
    <row r="4" spans="1:16" x14ac:dyDescent="0.35">
      <c r="A4" s="2"/>
      <c r="P4" s="3"/>
    </row>
    <row r="5" spans="1:16" x14ac:dyDescent="0.35">
      <c r="A5" s="2"/>
      <c r="P5" s="3"/>
    </row>
    <row r="6" spans="1:16" x14ac:dyDescent="0.35">
      <c r="P6" s="2"/>
    </row>
    <row r="7" spans="1:16" x14ac:dyDescent="0.35">
      <c r="A7" s="3" t="s">
        <v>2</v>
      </c>
      <c r="F7" s="3" t="s">
        <v>34</v>
      </c>
      <c r="I7" s="3" t="s">
        <v>46</v>
      </c>
      <c r="M7" s="3" t="s">
        <v>56</v>
      </c>
    </row>
    <row r="8" spans="1:16" x14ac:dyDescent="0.35">
      <c r="A8" s="4" t="s">
        <v>3</v>
      </c>
      <c r="B8" s="4" t="s">
        <v>4</v>
      </c>
      <c r="C8" s="4" t="s">
        <v>5</v>
      </c>
      <c r="D8" s="4" t="s">
        <v>6</v>
      </c>
      <c r="F8" s="4" t="s">
        <v>35</v>
      </c>
      <c r="G8" s="4" t="s">
        <v>36</v>
      </c>
      <c r="I8" s="4" t="s">
        <v>47</v>
      </c>
      <c r="J8" s="4" t="s">
        <v>48</v>
      </c>
      <c r="K8" s="4" t="s">
        <v>49</v>
      </c>
      <c r="M8" s="4" t="s">
        <v>57</v>
      </c>
      <c r="N8" s="4" t="s">
        <v>36</v>
      </c>
    </row>
    <row r="9" spans="1:16" ht="29" x14ac:dyDescent="0.35">
      <c r="A9" s="5" t="s">
        <v>7</v>
      </c>
      <c r="B9" s="6" t="s">
        <v>8</v>
      </c>
      <c r="C9" s="7" t="s">
        <v>9</v>
      </c>
      <c r="D9" s="26" t="s">
        <v>10</v>
      </c>
      <c r="F9" s="24" t="s">
        <v>37</v>
      </c>
      <c r="G9" s="24" t="s">
        <v>38</v>
      </c>
      <c r="I9" s="24" t="s">
        <v>50</v>
      </c>
      <c r="J9" s="8">
        <v>841</v>
      </c>
      <c r="K9" s="8">
        <v>1189</v>
      </c>
      <c r="M9" s="24" t="s">
        <v>58</v>
      </c>
      <c r="N9" s="24" t="s">
        <v>38</v>
      </c>
    </row>
    <row r="10" spans="1:16" x14ac:dyDescent="0.35">
      <c r="A10" s="5" t="s">
        <v>11</v>
      </c>
      <c r="B10" s="6" t="s">
        <v>12</v>
      </c>
      <c r="C10" s="7" t="s">
        <v>13</v>
      </c>
      <c r="D10" s="26"/>
      <c r="F10" s="24" t="s">
        <v>39</v>
      </c>
      <c r="G10" s="24" t="s">
        <v>38</v>
      </c>
      <c r="I10" s="24" t="s">
        <v>51</v>
      </c>
      <c r="J10" s="8">
        <v>594</v>
      </c>
      <c r="K10" s="8">
        <v>841</v>
      </c>
      <c r="M10" s="24" t="s">
        <v>59</v>
      </c>
      <c r="N10" s="24" t="s">
        <v>38</v>
      </c>
    </row>
    <row r="11" spans="1:16" x14ac:dyDescent="0.35">
      <c r="A11" s="5" t="s">
        <v>14</v>
      </c>
      <c r="B11" s="6" t="s">
        <v>15</v>
      </c>
      <c r="C11" s="7" t="s">
        <v>16</v>
      </c>
      <c r="D11" s="26" t="s">
        <v>17</v>
      </c>
      <c r="F11" s="24" t="s">
        <v>40</v>
      </c>
      <c r="G11" s="24" t="s">
        <v>38</v>
      </c>
      <c r="I11" s="24" t="s">
        <v>52</v>
      </c>
      <c r="J11" s="8">
        <v>420</v>
      </c>
      <c r="K11" s="8">
        <v>594</v>
      </c>
      <c r="M11" s="24" t="s">
        <v>60</v>
      </c>
      <c r="N11" s="24" t="s">
        <v>38</v>
      </c>
    </row>
    <row r="12" spans="1:16" x14ac:dyDescent="0.35">
      <c r="A12" s="5" t="s">
        <v>18</v>
      </c>
      <c r="B12" s="6" t="s">
        <v>19</v>
      </c>
      <c r="C12" s="7" t="s">
        <v>20</v>
      </c>
      <c r="D12" s="26"/>
      <c r="F12" s="24" t="s">
        <v>41</v>
      </c>
      <c r="G12" s="24" t="s">
        <v>38</v>
      </c>
      <c r="I12" s="24" t="s">
        <v>53</v>
      </c>
      <c r="J12" s="8">
        <v>297</v>
      </c>
      <c r="K12" s="8">
        <v>420</v>
      </c>
      <c r="M12" s="24" t="s">
        <v>61</v>
      </c>
      <c r="N12" s="24" t="s">
        <v>38</v>
      </c>
    </row>
    <row r="13" spans="1:16" x14ac:dyDescent="0.35">
      <c r="A13" s="5" t="s">
        <v>21</v>
      </c>
      <c r="B13" s="6" t="s">
        <v>22</v>
      </c>
      <c r="C13" s="7" t="s">
        <v>23</v>
      </c>
      <c r="D13" s="26" t="s">
        <v>24</v>
      </c>
      <c r="F13" s="24" t="s">
        <v>42</v>
      </c>
      <c r="G13" s="24" t="s">
        <v>38</v>
      </c>
      <c r="I13" s="24" t="s">
        <v>54</v>
      </c>
      <c r="J13" s="8">
        <v>210</v>
      </c>
      <c r="K13" s="8">
        <v>297</v>
      </c>
      <c r="M13" s="24" t="s">
        <v>276</v>
      </c>
      <c r="N13" s="24" t="s">
        <v>38</v>
      </c>
    </row>
    <row r="14" spans="1:16" x14ac:dyDescent="0.35">
      <c r="A14" s="5" t="s">
        <v>25</v>
      </c>
      <c r="B14" s="6" t="s">
        <v>26</v>
      </c>
      <c r="C14" s="7">
        <v>2</v>
      </c>
      <c r="D14" s="26" t="s">
        <v>27</v>
      </c>
      <c r="F14" s="24" t="s">
        <v>43</v>
      </c>
      <c r="G14" s="24" t="s">
        <v>38</v>
      </c>
      <c r="I14" s="24" t="s">
        <v>55</v>
      </c>
      <c r="J14" s="8">
        <v>320</v>
      </c>
      <c r="K14" s="8">
        <v>450</v>
      </c>
    </row>
    <row r="15" spans="1:16" x14ac:dyDescent="0.35">
      <c r="A15" s="5" t="s">
        <v>28</v>
      </c>
      <c r="B15" s="6" t="s">
        <v>29</v>
      </c>
      <c r="C15" s="40">
        <v>1.4</v>
      </c>
      <c r="D15" s="26" t="s">
        <v>30</v>
      </c>
    </row>
    <row r="16" spans="1:16" x14ac:dyDescent="0.35">
      <c r="A16" s="5" t="s">
        <v>31</v>
      </c>
      <c r="B16" s="6" t="s">
        <v>32</v>
      </c>
      <c r="C16" s="43">
        <v>46294.403460648151</v>
      </c>
      <c r="D16" s="26" t="s">
        <v>33</v>
      </c>
    </row>
    <row r="17" spans="1:4" x14ac:dyDescent="0.35">
      <c r="A17" s="5" t="s">
        <v>187</v>
      </c>
      <c r="B17" s="6" t="s">
        <v>188</v>
      </c>
      <c r="C17" s="40" t="s">
        <v>232</v>
      </c>
      <c r="D17" s="26" t="s">
        <v>189</v>
      </c>
    </row>
    <row r="18" spans="1:4" x14ac:dyDescent="0.35">
      <c r="A18" s="5" t="s">
        <v>190</v>
      </c>
      <c r="B18" s="6" t="s">
        <v>191</v>
      </c>
      <c r="C18" s="43">
        <v>46294.403460648151</v>
      </c>
      <c r="D18" s="26" t="s">
        <v>192</v>
      </c>
    </row>
    <row r="19" spans="1:4" x14ac:dyDescent="0.35">
      <c r="A19" s="5" t="s">
        <v>193</v>
      </c>
      <c r="B19" s="6" t="s">
        <v>194</v>
      </c>
      <c r="C19" s="40" t="s">
        <v>222</v>
      </c>
      <c r="D19" s="26" t="s">
        <v>195</v>
      </c>
    </row>
    <row r="20" spans="1:4" ht="43.5" x14ac:dyDescent="0.35">
      <c r="A20" s="5" t="s">
        <v>196</v>
      </c>
      <c r="B20" s="6" t="s">
        <v>197</v>
      </c>
      <c r="C20" s="7"/>
      <c r="D20" s="26" t="s">
        <v>198</v>
      </c>
    </row>
    <row r="21" spans="1:4" ht="43.5" x14ac:dyDescent="0.35">
      <c r="A21" s="5" t="s">
        <v>199</v>
      </c>
      <c r="B21" s="6" t="s">
        <v>233</v>
      </c>
      <c r="C21" s="7" t="s">
        <v>235</v>
      </c>
      <c r="D21" s="26" t="s">
        <v>234</v>
      </c>
    </row>
    <row r="22" spans="1:4" ht="43.5" x14ac:dyDescent="0.35">
      <c r="A22" s="5" t="s">
        <v>200</v>
      </c>
      <c r="B22" s="6" t="s">
        <v>201</v>
      </c>
      <c r="C22" s="7" t="s">
        <v>280</v>
      </c>
      <c r="D22" s="26" t="s">
        <v>236</v>
      </c>
    </row>
    <row r="23" spans="1:4" ht="43.5" x14ac:dyDescent="0.35">
      <c r="A23" s="5" t="s">
        <v>237</v>
      </c>
      <c r="B23" s="6" t="s">
        <v>238</v>
      </c>
      <c r="C23" s="48" t="s">
        <v>240</v>
      </c>
      <c r="D23" s="26" t="s">
        <v>239</v>
      </c>
    </row>
    <row r="24" spans="1:4" ht="43.5" x14ac:dyDescent="0.35">
      <c r="A24" s="5" t="s">
        <v>202</v>
      </c>
      <c r="B24" s="6" t="s">
        <v>203</v>
      </c>
      <c r="C24" s="7" t="s">
        <v>129</v>
      </c>
      <c r="D24" s="26" t="s">
        <v>204</v>
      </c>
    </row>
    <row r="25" spans="1:4" ht="58" x14ac:dyDescent="0.35">
      <c r="A25" s="5" t="s">
        <v>277</v>
      </c>
      <c r="B25" s="6" t="s">
        <v>278</v>
      </c>
      <c r="C25" s="48" t="s">
        <v>129</v>
      </c>
      <c r="D25" s="26" t="s">
        <v>279</v>
      </c>
    </row>
    <row r="26" spans="1:4" ht="29" x14ac:dyDescent="0.35">
      <c r="A26" s="5" t="s">
        <v>223</v>
      </c>
      <c r="B26" s="6" t="s">
        <v>224</v>
      </c>
      <c r="C26" s="48">
        <v>3</v>
      </c>
      <c r="D26" s="26" t="s">
        <v>225</v>
      </c>
    </row>
    <row r="27" spans="1:4" ht="29" x14ac:dyDescent="0.35">
      <c r="A27" s="5" t="s">
        <v>226</v>
      </c>
      <c r="B27" s="6" t="s">
        <v>227</v>
      </c>
      <c r="C27" s="48">
        <v>4</v>
      </c>
      <c r="D27" s="26" t="s">
        <v>228</v>
      </c>
    </row>
    <row r="28" spans="1:4" ht="29" x14ac:dyDescent="0.35">
      <c r="A28" s="5" t="s">
        <v>229</v>
      </c>
      <c r="B28" s="6" t="s">
        <v>230</v>
      </c>
      <c r="C28" s="48">
        <v>9</v>
      </c>
      <c r="D28" s="26" t="s">
        <v>231</v>
      </c>
    </row>
    <row r="29" spans="1:4" ht="29" x14ac:dyDescent="0.35">
      <c r="A29" s="5" t="s">
        <v>241</v>
      </c>
      <c r="B29" s="6" t="s">
        <v>242</v>
      </c>
      <c r="C29" s="48" t="s">
        <v>244</v>
      </c>
      <c r="D29" s="26" t="s">
        <v>243</v>
      </c>
    </row>
  </sheetData>
  <sheetProtection sheet="1" objects="1" scenarios="1"/>
  <dataValidations count="2">
    <dataValidation type="list" allowBlank="1" showInputMessage="1" showErrorMessage="1" sqref="G9:G2003 N9:N2004" xr:uid="{00000000-0002-0000-0000-000001000000}">
      <formula1>"Yes,No"</formula1>
    </dataValidation>
    <dataValidation type="decimal" operator="greaterThan" allowBlank="1" showInputMessage="1" showErrorMessage="1" errorTitle="Dimension" error="Enter the size in millimetres." promptTitle="Dimension" prompt="Enter the size in millimetres." sqref="J9:K2003" xr:uid="{00000000-0002-0000-0000-000003000000}">
      <formula1>0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"/>
  <sheetViews>
    <sheetView workbookViewId="0"/>
  </sheetViews>
  <sheetFormatPr defaultRowHeight="14.5" x14ac:dyDescent="0.35"/>
  <cols>
    <col min="1" max="1" width="12.7265625" bestFit="1" customWidth="1"/>
    <col min="2" max="2" width="7.36328125" bestFit="1" customWidth="1"/>
    <col min="3" max="3" width="8" bestFit="1" customWidth="1"/>
    <col min="4" max="4" width="13.36328125" bestFit="1" customWidth="1"/>
    <col min="5" max="5" width="7.54296875" bestFit="1" customWidth="1"/>
    <col min="6" max="6" width="11" bestFit="1" customWidth="1"/>
    <col min="7" max="7" width="10.7265625" bestFit="1" customWidth="1"/>
    <col min="8" max="8" width="7.453125" bestFit="1" customWidth="1"/>
    <col min="9" max="10" width="8.6328125" bestFit="1" customWidth="1"/>
    <col min="11" max="11" width="8.1796875" bestFit="1" customWidth="1"/>
  </cols>
  <sheetData>
    <row r="1" spans="1:11" ht="29" x14ac:dyDescent="0.35">
      <c r="A1" s="4" t="s">
        <v>115</v>
      </c>
      <c r="B1" s="4" t="s">
        <v>116</v>
      </c>
      <c r="C1" s="4" t="s">
        <v>65</v>
      </c>
      <c r="D1" s="4" t="s">
        <v>19</v>
      </c>
      <c r="E1" s="4" t="s">
        <v>117</v>
      </c>
      <c r="F1" s="4" t="s">
        <v>118</v>
      </c>
      <c r="G1" s="4" t="s">
        <v>119</v>
      </c>
      <c r="H1" s="4" t="s">
        <v>120</v>
      </c>
      <c r="I1" s="22" t="s">
        <v>184</v>
      </c>
      <c r="J1" s="22" t="s">
        <v>185</v>
      </c>
      <c r="K1" s="22" t="s">
        <v>186</v>
      </c>
    </row>
    <row r="2" spans="1:11" ht="43.5" x14ac:dyDescent="0.35">
      <c r="A2" s="22" t="s">
        <v>183</v>
      </c>
      <c r="B2" s="22" t="s">
        <v>281</v>
      </c>
      <c r="C2" s="22" t="s">
        <v>183</v>
      </c>
      <c r="D2" s="22" t="s">
        <v>20</v>
      </c>
      <c r="E2" s="22">
        <v>12</v>
      </c>
      <c r="F2" s="41">
        <v>46280.425000000003</v>
      </c>
      <c r="G2" s="41">
        <v>46284.395833333336</v>
      </c>
      <c r="H2" s="22" t="s">
        <v>36</v>
      </c>
      <c r="I2" s="22"/>
      <c r="J2" s="22"/>
      <c r="K2" s="22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RowHeight="14.5" x14ac:dyDescent="0.35"/>
  <sheetData/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"/>
  <sheetViews>
    <sheetView workbookViewId="0"/>
  </sheetViews>
  <sheetFormatPr defaultRowHeight="14.5" x14ac:dyDescent="0.35"/>
  <sheetData/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1"/>
  <sheetViews>
    <sheetView workbookViewId="0"/>
  </sheetViews>
  <sheetFormatPr defaultRowHeight="14.5" x14ac:dyDescent="0.35"/>
  <sheetData>
    <row r="1" spans="1:5" x14ac:dyDescent="0.35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"/>
  <sheetViews>
    <sheetView showGridLines="0" workbookViewId="0"/>
  </sheetViews>
  <sheetFormatPr defaultRowHeight="14.5" x14ac:dyDescent="0.35"/>
  <cols>
    <col min="1" max="1" width="12.7265625" customWidth="1"/>
    <col min="2" max="2" width="44.7265625" customWidth="1"/>
  </cols>
  <sheetData>
    <row r="1" spans="1:1" ht="21" x14ac:dyDescent="0.35">
      <c r="A1" s="1" t="s">
        <v>126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40</vt:i4>
      </vt:variant>
    </vt:vector>
  </HeadingPairs>
  <TitlesOfParts>
    <vt:vector size="45" baseType="lpstr">
      <vt:lpstr>Example Print Room</vt:lpstr>
      <vt:lpstr>Print Technicians</vt:lpstr>
      <vt:lpstr>Printers</vt:lpstr>
      <vt:lpstr>Papers</vt:lpstr>
      <vt:lpstr>Settings</vt:lpstr>
      <vt:lpstr>'Example Print Room'!LOC_Code</vt:lpstr>
      <vt:lpstr>'Example Print Room'!LOC_DefDisCons</vt:lpstr>
      <vt:lpstr>'Example Print Room'!LOC_DefDisPaper</vt:lpstr>
      <vt:lpstr>'Example Print Room'!LOC_DefPaper</vt:lpstr>
      <vt:lpstr>'Example Print Room'!LOC_DefPrinter</vt:lpstr>
      <vt:lpstr>'Example Print Room'!LOC_DefTech</vt:lpstr>
      <vt:lpstr>'Example Print Room'!LOC_Dept</vt:lpstr>
      <vt:lpstr>'Example Print Room'!LOC_Export</vt:lpstr>
      <vt:lpstr>'Example Print Room'!LOC_Name</vt:lpstr>
      <vt:lpstr>'Example Print Room'!LOC_Printers</vt:lpstr>
      <vt:lpstr>'Example Print Room'!LOC_RollUnit</vt:lpstr>
      <vt:lpstr>'Example Print Room'!LOC_Status</vt:lpstr>
      <vt:lpstr>lstConsumables</vt:lpstr>
      <vt:lpstr>lstPaperTypes</vt:lpstr>
      <vt:lpstr>lstPrinters</vt:lpstr>
      <vt:lpstr>lstStandardSizes</vt:lpstr>
      <vt:lpstr>lstStocks</vt:lpstr>
      <vt:lpstr>lstTechnicians</vt:lpstr>
      <vt:lpstr>RNG_STD_SIZES</vt:lpstr>
      <vt:lpstr>SET_APP_VER</vt:lpstr>
      <vt:lpstr>SET_BUILT</vt:lpstr>
      <vt:lpstr>SET_BUILT_BY</vt:lpstr>
      <vt:lpstr>SET_COST_COLS_HIDDEN</vt:lpstr>
      <vt:lpstr>SET_CURRENCY</vt:lpstr>
      <vt:lpstr>SET_DEPT</vt:lpstr>
      <vt:lpstr>SET_EXPORT_FOLDER</vt:lpstr>
      <vt:lpstr>SET_LASTREF</vt:lpstr>
      <vt:lpstr>SET_LOC_MINIMAL_COLUMNS</vt:lpstr>
      <vt:lpstr>SET_LOC_REDUCED_COLUMNS</vt:lpstr>
      <vt:lpstr>SET_LOC_REDUCED_VIEW</vt:lpstr>
      <vt:lpstr>SET_MULTIPASS_COLS_HIDDEN</vt:lpstr>
      <vt:lpstr>SET_ORG</vt:lpstr>
      <vt:lpstr>SET_PRINTER_ID_HWM</vt:lpstr>
      <vt:lpstr>SET_REPORT_HEADING</vt:lpstr>
      <vt:lpstr>SET_ROUND_DP</vt:lpstr>
      <vt:lpstr>SET_SCHEMA</vt:lpstr>
      <vt:lpstr>SET_SITE_ID</vt:lpstr>
      <vt:lpstr>SET_SITE_NAME</vt:lpstr>
      <vt:lpstr>SET_STOCK_ID_HWM</vt:lpstr>
      <vt:lpstr>SET_TECH_ID_HWM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Print Cost Management v0.10.0</dc:title>
  <dc:subject>Print output and cost logging, data schema 1.2</dc:subject>
  <dc:creator>Adam Shailer</dc:creator>
  <dc:description>Print Cost Management v0.10.0 (data schema 1.2), built 29/09/2026 09:40</dc:description>
  <cp:lastModifiedBy>Adam Shailer</cp:lastModifiedBy>
  <dcterms:created xsi:type="dcterms:W3CDTF">2026-09-18T15:15:00Z</dcterms:created>
  <dcterms:modified xsi:type="dcterms:W3CDTF">2026-10-15T14:40:18Z</dcterms:modified>
</cp:coreProperties>
</file>