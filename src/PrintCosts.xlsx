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54d1abecbe6fecc/Development/OfficeApps/PrintJob/src/"/>
    </mc:Choice>
  </mc:AlternateContent>
  <xr:revisionPtr revIDLastSave="34" documentId="6_{24FC9915-6BA6-43A0-B0CA-D3ADEEE53F5E}" xr6:coauthVersionLast="47" xr6:coauthVersionMax="47" xr10:uidLastSave="{F69C9187-3FD8-472A-9B34-944521AD99AC}"/>
  <bookViews>
    <workbookView xWindow="1290" yWindow="-110" windowWidth="24420" windowHeight="14620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  <sheet name="Annexe" sheetId="11" r:id="rId11"/>
  </sheets>
  <definedNames>
    <definedName name="LOC_Code" localSheetId="10">Annexe!$AM$2</definedName>
    <definedName name="LOC_Code" localSheetId="9">'Main Print Room'!$AM$2</definedName>
    <definedName name="LOC_DefDisCons" localSheetId="10">Annexe!$AM$4</definedName>
    <definedName name="LOC_DefDisCons" localSheetId="9">'Main Print Room'!$AM$4</definedName>
    <definedName name="LOC_DefDisPaper" localSheetId="10">Annexe!$AM$3</definedName>
    <definedName name="LOC_DefDisPaper" localSheetId="9">'Main Print Room'!$AM$3</definedName>
    <definedName name="LOC_Dept" localSheetId="10">Annexe!$B$2</definedName>
    <definedName name="LOC_Dept" localSheetId="9">'Main Print Room'!$B$2</definedName>
    <definedName name="LOC_Name" localSheetId="10">Annexe!$B$1</definedName>
    <definedName name="LOC_Name" localSheetId="9">'Main Print Room'!$B$1</definedName>
    <definedName name="LOC_Printers" localSheetId="10">Annexe!$AM$5</definedName>
    <definedName name="LOC_Printers" localSheetId="9">'Main Print Room'!$AM$5</definedName>
    <definedName name="LOC_Status" localSheetId="10">Annexe!$B$7</definedName>
    <definedName name="LOC_Status" localSheetId="9">'Main Print Room'!$B$7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1" l="1"/>
  <c r="A13" i="11" s="1"/>
  <c r="O13" i="11"/>
  <c r="N13" i="11"/>
  <c r="P13" i="11" s="1"/>
  <c r="I13" i="11"/>
  <c r="U17" i="10"/>
  <c r="A17" i="10" s="1"/>
  <c r="O17" i="10"/>
  <c r="N17" i="10"/>
  <c r="P17" i="10" s="1"/>
  <c r="S17" i="10" s="1"/>
  <c r="I17" i="10"/>
  <c r="U16" i="10"/>
  <c r="O16" i="10"/>
  <c r="N16" i="10"/>
  <c r="P16" i="10" s="1"/>
  <c r="I16" i="10"/>
  <c r="A16" i="10"/>
  <c r="U15" i="10"/>
  <c r="A15" i="10" s="1"/>
  <c r="P15" i="10"/>
  <c r="O15" i="10"/>
  <c r="S15" i="10" s="1"/>
  <c r="N15" i="10"/>
  <c r="I15" i="10"/>
  <c r="U14" i="10"/>
  <c r="O14" i="10"/>
  <c r="N14" i="10"/>
  <c r="P14" i="10" s="1"/>
  <c r="I14" i="10"/>
  <c r="A14" i="10"/>
  <c r="U13" i="10"/>
  <c r="P13" i="10"/>
  <c r="Q13" i="10" s="1"/>
  <c r="O13" i="10"/>
  <c r="N13" i="10"/>
  <c r="I13" i="10"/>
  <c r="A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S14" i="10" l="1"/>
  <c r="S13" i="11"/>
  <c r="S16" i="10"/>
  <c r="Q17" i="10"/>
  <c r="R17" i="10" s="1"/>
  <c r="Q15" i="10"/>
  <c r="R15" i="10" s="1"/>
  <c r="Q14" i="10"/>
  <c r="R14" i="10" s="1"/>
  <c r="S13" i="10"/>
  <c r="R13" i="10" s="1"/>
  <c r="Q16" i="10"/>
  <c r="R16" i="10" s="1"/>
  <c r="Q13" i="11"/>
  <c r="R13" i="11" s="1"/>
</calcChain>
</file>

<file path=xl/sharedStrings.xml><?xml version="1.0" encoding="utf-8"?>
<sst xmlns="http://schemas.openxmlformats.org/spreadsheetml/2006/main" count="437" uniqueCount="222">
  <si>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</si>
  <si>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</si>
  <si>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</si>
  <si>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</si>
  <si>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</si>
  <si>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</si>
  <si>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</si>
  <si>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</si>
  <si>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</si>
  <si>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</si>
  <si>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</si>
  <si>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</si>
  <si>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</si>
  <si>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</si>
  <si>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</si>
  <si>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</si>
  <si>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</si>
  <si>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</si>
  <si>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</si>
  <si>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</si>
  <si>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</si>
  <si>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</si>
  <si>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</si>
  <si>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</si>
  <si>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</si>
  <si>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</si>
  <si>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</si>
  <si>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</si>
  <si>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</si>
  <si>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</si>
  <si>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</si>
  <si>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</si>
  <si>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</si>
  <si>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</si>
  <si>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</si>
  <si>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</si>
  <si>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</si>
  <si>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</si>
  <si>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</si>
  <si>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</si>
  <si>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</si>
  <si>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</si>
  <si>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</si>
  <si>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</si>
  <si>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</si>
  <si>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</si>
  <si>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</si>
  <si>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</si>
  <si>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</si>
  <si>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</si>
  <si>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</si>
  <si>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</si>
  <si>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</si>
  <si>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</si>
  <si>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</si>
  <si>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</si>
  <si>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</si>
  <si>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</si>
  <si>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</si>
  <si>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</si>
  <si>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</si>
  <si>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</si>
  <si>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</si>
  <si>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</si>
  <si>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</si>
  <si>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</si>
  <si>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</si>
  <si>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</si>
  <si>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</si>
  <si>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</si>
  <si>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</si>
  <si>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</si>
  <si>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</si>
  <si>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</si>
  <si>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</si>
  <si>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</si>
  <si>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</si>
  <si>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</si>
  <si>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</si>
  <si>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</si>
  <si>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</si>
  <si>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</si>
  <si>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</si>
  <si>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</si>
  <si>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</si>
  <si>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</si>
  <si>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</si>
  <si>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</si>
  <si>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</si>
  <si>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</si>
  <si>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</si>
  <si>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</si>
  <si>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</si>
  <si>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</si>
  <si>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</si>
  <si>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</si>
  <si>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</si>
  <si>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</si>
  <si>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</si>
  <si>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</si>
  <si>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</si>
  <si>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</si>
  <si>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</si>
  <si>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</si>
  <si>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</si>
  <si>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</si>
  <si>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</si>
  <si>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</si>
  <si>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</si>
  <si>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</si>
  <si>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</si>
  <si>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</si>
  <si>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</si>
  <si>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</si>
  <si>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</si>
  <si>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</si>
  <si>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</si>
  <si>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</si>
  <si>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</si>
  <si>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</si>
  <si>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</si>
  <si>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</si>
  <si>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</si>
  <si>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</si>
  <si>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</si>
  <si>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</si>
  <si>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</si>
  <si>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</si>
  <si>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</si>
  <si>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</si>
  <si>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</si>
  <si>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</si>
  <si>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</si>
  <si>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</si>
  <si>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</si>
  <si>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</si>
  <si>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</si>
  <si>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</si>
  <si>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</si>
  <si>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</si>
  <si>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</si>
  <si>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</si>
  <si>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</si>
  <si>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</si>
  <si>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</si>
  <si>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</si>
  <si>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</si>
  <si>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</si>
  <si>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</si>
  <si>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</si>
  <si>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</si>
  <si>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</si>
  <si>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</si>
  <si>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</si>
  <si>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Printers at this location</t>
  </si>
  <si>
    <t>Epson SureColor P9500;HP DesignJet Z9+;Xerox Versant 180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</si>
  <si>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</si>
  <si>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</si>
  <si>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</si>
  <si>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</si>
  <si>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</si>
  <si>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</si>
  <si>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</si>
  <si>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</si>
  <si>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</si>
  <si>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</si>
  <si>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</si>
  <si>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</si>
  <si>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</si>
  <si>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</si>
  <si>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</si>
  <si>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</si>
  <si>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</si>
  <si>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</si>
  <si>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</si>
  <si>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</si>
  <si>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</si>
  <si>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</si>
  <si>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</si>
  <si>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</si>
  <si>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</si>
  <si>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</si>
  <si>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</si>
  <si>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</si>
  <si>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</si>
  <si>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</si>
  <si>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</si>
  <si>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</si>
  <si>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</si>
  <si>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</si>
  <si>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</si>
  <si>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</si>
  <si>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</si>
  <si>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</si>
  <si>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</si>
  <si>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</si>
  <si>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</si>
  <si>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</si>
  <si>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</si>
  <si>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</si>
  <si>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</si>
  <si>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</si>
  <si>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2201884</t>
  </si>
  <si>
    <t>Degree show booklets</t>
  </si>
  <si>
    <t>build</t>
  </si>
  <si>
    <t>UNI-MAIN-00002</t>
  </si>
  <si>
    <t>Full-width canvas run</t>
  </si>
  <si>
    <t>UNI-MAIN-00003</t>
  </si>
  <si>
    <t>Ravi Patel</t>
  </si>
  <si>
    <t>2203110</t>
  </si>
  <si>
    <t>600mm print on the same roll</t>
  </si>
  <si>
    <t>UNI-MAIN-00004</t>
  </si>
  <si>
    <t>Paper donated by the department</t>
  </si>
  <si>
    <t>UNI-MAIN-00005</t>
  </si>
  <si>
    <t>SAMPLE: invalid — width exceeds the roll</t>
  </si>
  <si>
    <t>Annexe Print Room</t>
  </si>
  <si>
    <t>ANNEX</t>
  </si>
  <si>
    <t>Xerox Versant 180;HP Latex 335</t>
  </si>
  <si>
    <t>UNI-ANNEX-00001</t>
  </si>
  <si>
    <t>Same student, second print room</t>
  </si>
  <si>
    <t>Location settings</t>
  </si>
  <si>
    <t>Printers are chosen with the Select printers... button (side panel below); only printers listed here can be used for jobs on this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</si>
</sst>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</cellXfs>
  <cellStyles count="1">
    <cellStyle name="Normal" xfId="0" builtinId="0"/>
  </cellStyles>
  <dxfs count="82"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7" formatCode="#,##0.000"/>
      <fill>
        <patternFill>
          <bgColor rgb="FFF2F2F2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66" formatCode="#,##0.###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27" formatCode="dd/mm/yyyy\ hh:mm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>
          <bgColor rgb="FFF2F2F2"/>
        </patternFill>
      </fill>
    </dxf>
    <dxf>
      <font>
        <i/>
        <color rgb="FF595959"/>
      </font>
      <numFmt numFmtId="167" formatCode="#,##0.000"/>
      <fill>
        <patternFill>
          <bgColor rgb="FFF2F2F2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66" formatCode="#,##0.###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27" formatCode="dd/mm/yyyy\ hh:mm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81"/>
    <tableColumn id="2" xr3:uid="{00000000-0010-0000-0000-000002000000}" name="Setting" dataDxfId="80"/>
    <tableColumn id="3" xr3:uid="{00000000-0010-0000-0000-000003000000}" name="Value" dataDxfId="79"/>
    <tableColumn id="4" xr3:uid="{00000000-0010-0000-0000-000004000000}" name="Notes" dataDxfId="7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77"/>
    <tableColumn id="3" xr3:uid="{00000000-0010-0000-0300-000003000000}" name="Height mm" dataDxfId="76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75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74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73"/>
    <tableColumn id="5" xr3:uid="{00000000-0010-0000-0600-000005000000}" name="Supported families" dataDxfId="72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71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70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69"/>
    <tableColumn id="9" xr3:uid="{00000000-0010-0000-0700-000009000000}" name="Height mm" dataDxfId="68"/>
    <tableColumn id="10" xr3:uid="{00000000-0010-0000-0700-00000A000000}" name="Cost" dataDxfId="67"/>
    <tableColumn id="11" xr3:uid="{00000000-0010-0000-0700-00000B000000}" name="Cost unit" dataDxfId="66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17" totalsRowShown="0">
  <autoFilter ref="A12:AG17" xr:uid="{00000000-0009-0000-0100-00000B000000}"/>
  <tableColumns count="33">
    <tableColumn id="1" xr3:uid="{00000000-0010-0000-0A00-000001000000}" name="Status" dataDxfId="65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64"/>
    <tableColumn id="3" xr3:uid="{00000000-0010-0000-0A00-000003000000}" name="Date/Time" dataDxfId="63"/>
    <tableColumn id="4" xr3:uid="{00000000-0010-0000-0A00-000004000000}" name="Student Name" dataDxfId="62"/>
    <tableColumn id="5" xr3:uid="{00000000-0010-0000-0A00-000005000000}" name="Student No" dataDxfId="61"/>
    <tableColumn id="6" xr3:uid="{00000000-0010-0000-0A00-000006000000}" name="Technician" dataDxfId="60"/>
    <tableColumn id="7" xr3:uid="{00000000-0010-0000-0A00-000007000000}" name="Printer" dataDxfId="59"/>
    <tableColumn id="8" xr3:uid="{00000000-0010-0000-0A00-000008000000}" name="Paper Stock" dataDxfId="58"/>
    <tableColumn id="9" xr3:uid="{00000000-0010-0000-0A00-000009000000}" name="Unit" dataDxfId="57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56"/>
    <tableColumn id="11" xr3:uid="{00000000-0010-0000-0A00-00000B000000}" name="Print Width mm" dataDxfId="55"/>
    <tableColumn id="12" xr3:uid="{00000000-0010-0000-0A00-00000C000000}" name="Disregard Paper" dataDxfId="54"/>
    <tableColumn id="13" xr3:uid="{00000000-0010-0000-0A00-00000D000000}" name="Disregard Consumable" dataDxfId="53"/>
    <tableColumn id="14" xr3:uid="{00000000-0010-0000-0A00-00000E000000}" name="Area m2" dataDxfId="52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51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50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49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48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47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20" xr3:uid="{00000000-0010-0000-0A00-000014000000}" name="Notes" dataDxfId="46"/>
    <tableColumn id="21" xr3:uid="{00000000-0010-0000-0A00-000015000000}" name="H_Issues" dataDxfId="45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44"/>
    <tableColumn id="23" xr3:uid="{00000000-0010-0000-0A00-000017000000}" name="S_StockID" dataDxfId="43"/>
    <tableColumn id="24" xr3:uid="{00000000-0010-0000-0A00-000018000000}" name="S_TechID" dataDxfId="42"/>
    <tableColumn id="25" xr3:uid="{00000000-0010-0000-0A00-000019000000}" name="S_Family" dataDxfId="41"/>
    <tableColumn id="26" xr3:uid="{00000000-0010-0000-0A00-00001A000000}" name="S_Measure" dataDxfId="40"/>
    <tableColumn id="27" xr3:uid="{00000000-0010-0000-0A00-00001B000000}" name="S_UnitCost" dataDxfId="39"/>
    <tableColumn id="28" xr3:uid="{00000000-0010-0000-0A00-00001C000000}" name="S_StockWidth_mm" dataDxfId="38"/>
    <tableColumn id="29" xr3:uid="{00000000-0010-0000-0A00-00001D000000}" name="S_SheetHeight_mm" dataDxfId="37"/>
    <tableColumn id="30" xr3:uid="{00000000-0010-0000-0A00-00001E000000}" name="S_ConsRate" dataDxfId="36"/>
    <tableColumn id="31" xr3:uid="{00000000-0010-0000-0A00-00001F000000}" name="S_StampedAt" dataDxfId="35"/>
    <tableColumn id="32" xr3:uid="{00000000-0010-0000-0A00-000020000000}" name="S_StampedBy" dataDxfId="34"/>
    <tableColumn id="33" xr3:uid="{00000000-0010-0000-0A00-000021000000}" name="S_SchemaVer" dataDxfId="33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Jobs_ANNEX" displayName="tblJobs_ANNEX" ref="A12:AG13" totalsRowShown="0">
  <autoFilter ref="A12:AG13" xr:uid="{00000000-0009-0000-0100-00000C000000}"/>
  <tableColumns count="33">
    <tableColumn id="1" xr3:uid="{00000000-0010-0000-0B00-000001000000}" name="Status" dataDxfId="32">
      <calculatedColumnFormula>IF(tblJobs_ANNEX[[#This Row],[Job ID]]="","",IF(tblJobs_ANNEX[[#This Row],[H_Issues]]="","OK",MID(tblJobs_ANNEX[[#This Row],[H_Issues]],3,255)))</calculatedColumnFormula>
    </tableColumn>
    <tableColumn id="2" xr3:uid="{00000000-0010-0000-0B00-000002000000}" name="Job ID" dataDxfId="31"/>
    <tableColumn id="3" xr3:uid="{00000000-0010-0000-0B00-000003000000}" name="Date/Time" dataDxfId="30"/>
    <tableColumn id="4" xr3:uid="{00000000-0010-0000-0B00-000004000000}" name="Student Name" dataDxfId="29"/>
    <tableColumn id="5" xr3:uid="{00000000-0010-0000-0B00-000005000000}" name="Student No" dataDxfId="28"/>
    <tableColumn id="6" xr3:uid="{00000000-0010-0000-0B00-000006000000}" name="Technician" dataDxfId="27"/>
    <tableColumn id="7" xr3:uid="{00000000-0010-0000-0B00-000007000000}" name="Printer" dataDxfId="26"/>
    <tableColumn id="8" xr3:uid="{00000000-0010-0000-0B00-000008000000}" name="Paper Stock" dataDxfId="25"/>
    <tableColumn id="9" xr3:uid="{00000000-0010-0000-0B00-000009000000}" name="Unit" dataDxfId="24">
      <calculatedColumnFormula>IF(tblJobs_ANNEX[[#This Row],[S_Measure]]="","",IF(tblJobs_ANNEX[[#This Row],[S_Measure]]="Sheet","sheets","metres"))</calculatedColumnFormula>
    </tableColumn>
    <tableColumn id="10" xr3:uid="{00000000-0010-0000-0B00-00000A000000}" name="Quantity" dataDxfId="23"/>
    <tableColumn id="11" xr3:uid="{00000000-0010-0000-0B00-00000B000000}" name="Print Width mm" dataDxfId="22"/>
    <tableColumn id="12" xr3:uid="{00000000-0010-0000-0B00-00000C000000}" name="Disregard Paper" dataDxfId="21"/>
    <tableColumn id="13" xr3:uid="{00000000-0010-0000-0B00-00000D000000}" name="Disregard Consumable" dataDxfId="20"/>
    <tableColumn id="14" xr3:uid="{00000000-0010-0000-0B00-00000E000000}" name="Area m2" dataDxfId="19">
      <calculatedColumnFormula>IF(tblJobs_ANNEX[[#This Row],[Quantity]]="","",IF(tblJobs_ANNEX[[#This Row],[S_Measure]]="Sheet",(tblJobs_ANNEX[[#This Row],[S_StockWidth_mm]]/1000)*(tblJobs_ANNEX[[#This Row],[S_SheetHeight_mm]]/1000)*tblJobs_ANNEX[[#This Row],[Quantity]],(IF(tblJobs_ANNEX[[#This Row],[Print Width mm]]="",tblJobs_ANNEX[[#This Row],[S_StockWidth_mm]],tblJobs_ANNEX[[#This Row],[Print Width mm]])/1000)*tblJobs_ANNEX[[#This Row],[Quantity]]))</calculatedColumnFormula>
    </tableColumn>
    <tableColumn id="15" xr3:uid="{00000000-0010-0000-0B00-00000F000000}" name="Paper Cost" dataDxfId="18">
      <calculatedColumnFormula>IF(tblJobs_ANNEX[[#This Row],[Quantity]]="","",ROUND(tblJobs_ANNEX[[#This Row],[Quantity]]*tblJobs_ANNEX[[#This Row],[S_UnitCost]],SET_ROUND_DP))</calculatedColumnFormula>
    </tableColumn>
    <tableColumn id="16" xr3:uid="{00000000-0010-0000-0B00-000010000000}" name="Consumable Cost" dataDxfId="17">
      <calculatedColumnFormula>IF(tblJobs_ANNEX[[#This Row],[Area m2]]="","",ROUND(tblJobs_ANNEX[[#This Row],[Area m2]]*tblJobs_ANNEX[[#This Row],[S_ConsRate]],SET_ROUND_DP))</calculatedColumnFormula>
    </tableColumn>
    <tableColumn id="17" xr3:uid="{00000000-0010-0000-0B00-000011000000}" name="Gross Cost" dataDxfId="16">
      <calculatedColumnFormula>IF(tblJobs_ANNEX[[#This Row],[Paper Cost]]="","",tblJobs_ANNEX[[#This Row],[Paper Cost]]+tblJobs_ANNEX[[#This Row],[Consumable Cost]])</calculatedColumnFormula>
    </tableColumn>
    <tableColumn id="18" xr3:uid="{00000000-0010-0000-0B00-000012000000}" name="Disregarded" dataDxfId="15">
      <calculatedColumnFormula>IF(tblJobs_ANNEX[[#This Row],[Gross Cost]]="","",tblJobs_ANNEX[[#This Row],[Gross Cost]]-tblJobs_ANNEX[[#This Row],[Chargeable Cost]])</calculatedColumnFormula>
    </tableColumn>
    <tableColumn id="19" xr3:uid="{00000000-0010-0000-0B00-000013000000}" name="Chargeable Cost" dataDxfId="14">
      <calculatedColumnFormula>IF(tblJobs_ANNEX[[#This Row],[Paper Cost]]="","",IF(tblJobs_ANNEX[[#This Row],[Disregard Paper]]="Yes",0,tblJobs_ANNEX[[#This Row],[Paper Cost]])+IF(tblJobs_ANNEX[[#This Row],[Disregard Consumable]]="Yes",0,tblJobs_ANNEX[[#This Row],[Consumable Cost]]))</calculatedColumnFormula>
    </tableColumn>
    <tableColumn id="20" xr3:uid="{00000000-0010-0000-0B00-000014000000}" name="Notes" dataDxfId="13"/>
    <tableColumn id="21" xr3:uid="{00000000-0010-0000-0B00-000015000000}" name="H_Issues" dataDxfId="12">
      <calculatedColumnFormula>IF(tblJobs_ANNEX[[#This Row],[Job ID]]="","",IF(tblJobs_ANNEX[[#This Row],[Date/Time]]="","; Date and time required","")&amp;IF(AND(tblJobs_ANNEX[[#This Row],[Student Name]]="",tblJobs_ANNEX[[#This Row],[Student No]]=""),"; Student name or number required","")&amp;IF(tblJobs_ANNEX[[#This Row],[Technician]]="","; Technician required","")&amp;IF(tblJobs_ANNEX[[#This Row],[Printer]]="","; Printer required","")&amp;IF(tblJobs_ANNEX[[#This Row],[Paper Stock]]="","; Paper stock required","")&amp;IF(tblJobs_ANNEX[[#This Row],[Quantity]]="","; Quantity required",IF(tblJobs_ANNEX[[#This Row],[Quantity]]&lt;=0,"; Quantity must be greater than zero",""))&amp;IF(AND(tblJobs_ANNEX[[#This Row],[S_Measure]]="Sheet",tblJobs_ANNEX[[#This Row],[Quantity]]&lt;&gt;"",tblJobs_ANNEX[[#This Row],[Quantity]]&lt;&gt;INT(tblJobs_ANNEX[[#This Row],[Quantity]])),"; Sheet quantity must be a whole number","")&amp;IF(AND(tblJobs_ANNEX[[#This Row],[S_Measure]]="Sheet",tblJobs_ANNEX[[#This Row],[Print Width mm]]&lt;&gt;""),"; Print width does not apply to sheet stock","")&amp;IF(AND(tblJobs_ANNEX[[#This Row],[Print Width mm]]&lt;&gt;"",tblJobs_ANNEX[[#This Row],[Print Width mm]]&gt;tblJobs_ANNEX[[#This Row],[S_StockWidth_mm]]),"; Print width exceeds stock width",""))</calculatedColumnFormula>
    </tableColumn>
    <tableColumn id="22" xr3:uid="{00000000-0010-0000-0B00-000016000000}" name="S_PrinterID" dataDxfId="11"/>
    <tableColumn id="23" xr3:uid="{00000000-0010-0000-0B00-000017000000}" name="S_StockID" dataDxfId="10"/>
    <tableColumn id="24" xr3:uid="{00000000-0010-0000-0B00-000018000000}" name="S_TechID" dataDxfId="9"/>
    <tableColumn id="25" xr3:uid="{00000000-0010-0000-0B00-000019000000}" name="S_Family" dataDxfId="8"/>
    <tableColumn id="26" xr3:uid="{00000000-0010-0000-0B00-00001A000000}" name="S_Measure" dataDxfId="7"/>
    <tableColumn id="27" xr3:uid="{00000000-0010-0000-0B00-00001B000000}" name="S_UnitCost" dataDxfId="6"/>
    <tableColumn id="28" xr3:uid="{00000000-0010-0000-0B00-00001C000000}" name="S_StockWidth_mm" dataDxfId="5"/>
    <tableColumn id="29" xr3:uid="{00000000-0010-0000-0B00-00001D000000}" name="S_SheetHeight_mm" dataDxfId="4"/>
    <tableColumn id="30" xr3:uid="{00000000-0010-0000-0B00-00001E000000}" name="S_ConsRate" dataDxfId="3"/>
    <tableColumn id="31" xr3:uid="{00000000-0010-0000-0B00-00001F000000}" name="S_StampedAt" dataDxfId="2"/>
    <tableColumn id="32" xr3:uid="{00000000-0010-0000-0B00-000020000000}" name="S_StampedBy" dataDxfId="1"/>
    <tableColumn id="33" xr3:uid="{00000000-0010-0000-0B00-000021000000}" name="S_SchemaVe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abSelected="1"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17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4.5" outlineLevelCol="1" x14ac:dyDescent="0.35"/>
  <cols>
    <col min="1" max="1" width="30.7265625" customWidth="1"/>
    <col min="2" max="2" width="16.7265625" customWidth="1"/>
    <col min="3" max="3" width="17.7265625" customWidth="1"/>
    <col min="4" max="4" width="22.7265625" customWidth="1"/>
    <col min="5" max="5" width="13.7265625" customWidth="1"/>
    <col min="6" max="6" width="18.7265625" customWidth="1"/>
    <col min="7" max="7" width="24.7265625" customWidth="1"/>
    <col min="8" max="8" width="30.7265625" customWidth="1"/>
    <col min="9" max="9" width="9.7265625" customWidth="1"/>
    <col min="10" max="10" width="10.7265625" customWidth="1"/>
    <col min="11" max="11" width="13.7265625" customWidth="1"/>
    <col min="12" max="12" width="15.7265625" customWidth="1"/>
    <col min="13" max="13" width="19.7265625" customWidth="1"/>
    <col min="14" max="14" width="11.7265625" customWidth="1"/>
    <col min="15" max="15" width="12.7265625" customWidth="1"/>
    <col min="16" max="16" width="15.7265625" customWidth="1"/>
    <col min="17" max="18" width="12.7265625" customWidth="1"/>
    <col min="19" max="19" width="15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159</v>
      </c>
      <c r="AL1" s="19" t="s">
        <v>220</v>
      </c>
      <c r="AZ1" t="s">
        <v>158</v>
      </c>
    </row>
    <row r="2" spans="1:52" x14ac:dyDescent="0.35">
      <c r="A2" s="6" t="s">
        <v>19</v>
      </c>
      <c r="B2" s="7" t="s">
        <v>20</v>
      </c>
      <c r="D2" s="2" t="s">
        <v>160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154</v>
      </c>
      <c r="AM5" t="s">
        <v>155</v>
      </c>
    </row>
    <row r="6" spans="1:52" x14ac:dyDescent="0.35">
      <c r="A6" s="21"/>
      <c r="B6" s="5"/>
      <c r="AL6" s="20" t="s">
        <v>221</v>
      </c>
    </row>
    <row r="7" spans="1:52" x14ac:dyDescent="0.35">
      <c r="A7" s="6" t="s">
        <v>156</v>
      </c>
      <c r="B7" s="5" t="s">
        <v>157</v>
      </c>
    </row>
    <row r="10" spans="1:52" x14ac:dyDescent="0.35">
      <c r="A10" s="5" t="s">
        <v>161</v>
      </c>
      <c r="C10" s="5" t="s">
        <v>162</v>
      </c>
      <c r="E10" s="5" t="s">
        <v>163</v>
      </c>
      <c r="G10" s="5" t="s">
        <v>164</v>
      </c>
      <c r="I10" s="5" t="s">
        <v>165</v>
      </c>
      <c r="K10" s="5" t="s">
        <v>166</v>
      </c>
      <c r="M10" s="2" t="s">
        <v>167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185</v>
      </c>
      <c r="S12" s="4" t="s">
        <v>186</v>
      </c>
      <c r="T12" s="4" t="s">
        <v>6</v>
      </c>
      <c r="U12" s="4" t="s">
        <v>187</v>
      </c>
      <c r="V12" s="4" t="s">
        <v>188</v>
      </c>
      <c r="W12" s="4" t="s">
        <v>189</v>
      </c>
      <c r="X12" s="4" t="s">
        <v>190</v>
      </c>
      <c r="Y12" s="4" t="s">
        <v>191</v>
      </c>
      <c r="Z12" s="4" t="s">
        <v>192</v>
      </c>
      <c r="AA12" s="4" t="s">
        <v>193</v>
      </c>
      <c r="AB12" s="4" t="s">
        <v>194</v>
      </c>
      <c r="AC12" s="4" t="s">
        <v>195</v>
      </c>
      <c r="AD12" s="4" t="s">
        <v>196</v>
      </c>
      <c r="AE12" s="4" t="s">
        <v>197</v>
      </c>
      <c r="AF12" s="4" t="s">
        <v>198</v>
      </c>
      <c r="AG12" s="4" t="s">
        <v>199</v>
      </c>
    </row>
    <row r="13" spans="1:52" x14ac:dyDescent="0.35">
      <c r="A13" s="10" t="str">
        <f>IF(tblJobs_MAIN[[#This Row],[Job ID]]="","",IF(tblJobs_MAIN[[#This Row],[H_Issues]]="","OK",MID(tblJobs_MAIN[[#This Row],[H_Issues]],3,255)))</f>
        <v>OK</v>
      </c>
      <c r="B13" s="5" t="s">
        <v>200</v>
      </c>
      <c r="C13" s="12">
        <v>46280.425000000003</v>
      </c>
      <c r="D13" s="13" t="s">
        <v>201</v>
      </c>
      <c r="E13" s="13" t="s">
        <v>202</v>
      </c>
      <c r="F13" s="13" t="s">
        <v>83</v>
      </c>
      <c r="G13" s="13" t="s">
        <v>101</v>
      </c>
      <c r="H13" s="13" t="s">
        <v>120</v>
      </c>
      <c r="I13" s="10" t="str">
        <f>IF(tblJobs_MAIN[[#This Row],[S_Measure]]="","",IF(tblJobs_MAIN[[#This Row],[S_Measure]]="Sheet","sheets","metres"))</f>
        <v>sheets</v>
      </c>
      <c r="J13" s="14">
        <v>100</v>
      </c>
      <c r="K13" s="8"/>
      <c r="L13" s="13" t="s">
        <v>152</v>
      </c>
      <c r="M13" s="13" t="s">
        <v>152</v>
      </c>
      <c r="N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O13" s="16">
        <f>IF(tblJobs_MAIN[[#This Row],[Quantity]]="","",ROUND(tblJobs_MAIN[[#This Row],[Quantity]]*tblJobs_MAIN[[#This Row],[S_UnitCost]],SET_ROUND_DP))</f>
        <v>31</v>
      </c>
      <c r="P13" s="16">
        <f>IF(tblJobs_MAIN[[#This Row],[Area m2]]="","",ROUND(tblJobs_MAIN[[#This Row],[Area m2]]*tblJobs_MAIN[[#This Row],[S_ConsRate]],SET_ROUND_DP))</f>
        <v>13.68</v>
      </c>
      <c r="Q13" s="16">
        <f>IF(tblJobs_MAIN[[#This Row],[Paper Cost]]="","",tblJobs_MAIN[[#This Row],[Paper Cost]]+tblJobs_MAIN[[#This Row],[Consumable Cost]])</f>
        <v>44.68</v>
      </c>
      <c r="R13" s="16">
        <f>IF(tblJobs_MAIN[[#This Row],[Gross Cost]]="","",tblJobs_MAIN[[#This Row],[Gross Cost]]-tblJobs_MAIN[[#This Row],[Chargeable Cost]])</f>
        <v>0</v>
      </c>
      <c r="S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T13" s="13" t="s">
        <v>203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204</v>
      </c>
      <c r="AG13" s="17" t="s">
        <v>35</v>
      </c>
    </row>
    <row r="14" spans="1:52" x14ac:dyDescent="0.35">
      <c r="A14" s="10" t="str">
        <f>IF(tblJobs_MAIN[[#This Row],[Job ID]]="","",IF(tblJobs_MAIN[[#This Row],[H_Issues]]="","OK",MID(tblJobs_MAIN[[#This Row],[H_Issues]],3,255)))</f>
        <v>OK</v>
      </c>
      <c r="B14" s="5" t="s">
        <v>205</v>
      </c>
      <c r="C14" s="12">
        <v>46280.611111111109</v>
      </c>
      <c r="D14" s="13" t="s">
        <v>201</v>
      </c>
      <c r="E14" s="13" t="s">
        <v>202</v>
      </c>
      <c r="F14" s="13" t="s">
        <v>85</v>
      </c>
      <c r="G14" s="13" t="s">
        <v>96</v>
      </c>
      <c r="H14" s="13" t="s">
        <v>126</v>
      </c>
      <c r="I14" s="10" t="str">
        <f>IF(tblJobs_MAIN[[#This Row],[S_Measure]]="","",IF(tblJobs_MAIN[[#This Row],[S_Measure]]="Sheet","sheets","metres"))</f>
        <v>metres</v>
      </c>
      <c r="J14" s="14">
        <v>12</v>
      </c>
      <c r="K14" s="8"/>
      <c r="L14" s="13" t="s">
        <v>152</v>
      </c>
      <c r="M14" s="13" t="s">
        <v>152</v>
      </c>
      <c r="N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O14" s="16">
        <f>IF(tblJobs_MAIN[[#This Row],[Quantity]]="","",ROUND(tblJobs_MAIN[[#This Row],[Quantity]]*tblJobs_MAIN[[#This Row],[S_UnitCost]],SET_ROUND_DP))</f>
        <v>105</v>
      </c>
      <c r="P14" s="16">
        <f>IF(tblJobs_MAIN[[#This Row],[Area m2]]="","",ROUND(tblJobs_MAIN[[#This Row],[Area m2]]*tblJobs_MAIN[[#This Row],[S_ConsRate]],SET_ROUND_DP))</f>
        <v>31.26</v>
      </c>
      <c r="Q14" s="16">
        <f>IF(tblJobs_MAIN[[#This Row],[Paper Cost]]="","",tblJobs_MAIN[[#This Row],[Paper Cost]]+tblJobs_MAIN[[#This Row],[Consumable Cost]])</f>
        <v>136.26</v>
      </c>
      <c r="R14" s="16">
        <f>IF(tblJobs_MAIN[[#This Row],[Gross Cost]]="","",tblJobs_MAIN[[#This Row],[Gross Cost]]-tblJobs_MAIN[[#This Row],[Chargeable Cost]])</f>
        <v>0</v>
      </c>
      <c r="S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T14" s="13" t="s">
        <v>206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46282.375</v>
      </c>
      <c r="AF14" s="17" t="s">
        <v>204</v>
      </c>
      <c r="AG14" s="17" t="s">
        <v>35</v>
      </c>
    </row>
    <row r="15" spans="1:52" x14ac:dyDescent="0.35">
      <c r="A15" s="10" t="str">
        <f>IF(tblJobs_MAIN[[#This Row],[Job ID]]="","",IF(tblJobs_MAIN[[#This Row],[H_Issues]]="","OK",MID(tblJobs_MAIN[[#This Row],[H_Issues]],3,255)))</f>
        <v>OK</v>
      </c>
      <c r="B15" s="5" t="s">
        <v>207</v>
      </c>
      <c r="C15" s="12">
        <v>46281.461805555547</v>
      </c>
      <c r="D15" s="13" t="s">
        <v>208</v>
      </c>
      <c r="E15" s="13" t="s">
        <v>209</v>
      </c>
      <c r="F15" s="13" t="s">
        <v>85</v>
      </c>
      <c r="G15" s="13" t="s">
        <v>96</v>
      </c>
      <c r="H15" s="13" t="s">
        <v>126</v>
      </c>
      <c r="I15" s="10" t="str">
        <f>IF(tblJobs_MAIN[[#This Row],[S_Measure]]="","",IF(tblJobs_MAIN[[#This Row],[S_Measure]]="Sheet","sheets","metres"))</f>
        <v>metres</v>
      </c>
      <c r="J15" s="14">
        <v>12</v>
      </c>
      <c r="K15" s="8">
        <v>600</v>
      </c>
      <c r="L15" s="13" t="s">
        <v>152</v>
      </c>
      <c r="M15" s="13" t="s">
        <v>152</v>
      </c>
      <c r="N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O15" s="16">
        <f>IF(tblJobs_MAIN[[#This Row],[Quantity]]="","",ROUND(tblJobs_MAIN[[#This Row],[Quantity]]*tblJobs_MAIN[[#This Row],[S_UnitCost]],SET_ROUND_DP))</f>
        <v>105</v>
      </c>
      <c r="P15" s="16">
        <f>IF(tblJobs_MAIN[[#This Row],[Area m2]]="","",ROUND(tblJobs_MAIN[[#This Row],[Area m2]]*tblJobs_MAIN[[#This Row],[S_ConsRate]],SET_ROUND_DP))</f>
        <v>20.52</v>
      </c>
      <c r="Q15" s="16">
        <f>IF(tblJobs_MAIN[[#This Row],[Paper Cost]]="","",tblJobs_MAIN[[#This Row],[Paper Cost]]+tblJobs_MAIN[[#This Row],[Consumable Cost]])</f>
        <v>125.52</v>
      </c>
      <c r="R15" s="16">
        <f>IF(tblJobs_MAIN[[#This Row],[Gross Cost]]="","",tblJobs_MAIN[[#This Row],[Gross Cost]]-tblJobs_MAIN[[#This Row],[Chargeable Cost]])</f>
        <v>0</v>
      </c>
      <c r="S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T15" s="13" t="s">
        <v>210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46282.375</v>
      </c>
      <c r="AF15" s="17" t="s">
        <v>204</v>
      </c>
      <c r="AG15" s="17" t="s">
        <v>35</v>
      </c>
    </row>
    <row r="16" spans="1:52" x14ac:dyDescent="0.35">
      <c r="A16" s="10" t="str">
        <f>IF(tblJobs_MAIN[[#This Row],[Job ID]]="","",IF(tblJobs_MAIN[[#This Row],[H_Issues]]="","OK",MID(tblJobs_MAIN[[#This Row],[H_Issues]],3,255)))</f>
        <v>OK</v>
      </c>
      <c r="B16" s="5" t="s">
        <v>211</v>
      </c>
      <c r="C16" s="12">
        <v>46281.638888888891</v>
      </c>
      <c r="D16" s="13" t="s">
        <v>208</v>
      </c>
      <c r="E16" s="13" t="s">
        <v>209</v>
      </c>
      <c r="F16" s="13" t="s">
        <v>83</v>
      </c>
      <c r="G16" s="13" t="s">
        <v>96</v>
      </c>
      <c r="H16" s="13" t="s">
        <v>124</v>
      </c>
      <c r="I16" s="10" t="str">
        <f>IF(tblJobs_MAIN[[#This Row],[S_Measure]]="","",IF(tblJobs_MAIN[[#This Row],[S_Measure]]="Sheet","sheets","metres"))</f>
        <v>metres</v>
      </c>
      <c r="J16" s="14">
        <v>5</v>
      </c>
      <c r="K16" s="8"/>
      <c r="L16" s="13" t="s">
        <v>44</v>
      </c>
      <c r="M16" s="13" t="s">
        <v>152</v>
      </c>
      <c r="N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O16" s="16">
        <f>IF(tblJobs_MAIN[[#This Row],[Quantity]]="","",ROUND(tblJobs_MAIN[[#This Row],[Quantity]]*tblJobs_MAIN[[#This Row],[S_UnitCost]],SET_ROUND_DP))</f>
        <v>15.5</v>
      </c>
      <c r="P16" s="16">
        <f>IF(tblJobs_MAIN[[#This Row],[Area m2]]="","",ROUND(tblJobs_MAIN[[#This Row],[Area m2]]*tblJobs_MAIN[[#This Row],[S_ConsRate]],SET_ROUND_DP))</f>
        <v>8.69</v>
      </c>
      <c r="Q16" s="16">
        <f>IF(tblJobs_MAIN[[#This Row],[Paper Cost]]="","",tblJobs_MAIN[[#This Row],[Paper Cost]]+tblJobs_MAIN[[#This Row],[Consumable Cost]])</f>
        <v>24.189999999999998</v>
      </c>
      <c r="R16" s="16">
        <f>IF(tblJobs_MAIN[[#This Row],[Gross Cost]]="","",tblJobs_MAIN[[#This Row],[Gross Cost]]-tblJobs_MAIN[[#This Row],[Chargeable Cost]])</f>
        <v>15.499999999999998</v>
      </c>
      <c r="S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T16" s="13" t="s">
        <v>212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46282.375</v>
      </c>
      <c r="AF16" s="17" t="s">
        <v>204</v>
      </c>
      <c r="AG16" s="17" t="s">
        <v>35</v>
      </c>
    </row>
    <row r="17" spans="1:33" x14ac:dyDescent="0.35">
      <c r="A17" s="10" t="str">
        <f>IF(tblJobs_MAIN[[#This Row],[Job ID]]="","",IF(tblJobs_MAIN[[#This Row],[H_Issues]]="","OK",MID(tblJobs_MAIN[[#This Row],[H_Issues]],3,255)))</f>
        <v>Student name or number required; Print width exceeds stock width</v>
      </c>
      <c r="B17" s="5" t="s">
        <v>213</v>
      </c>
      <c r="C17" s="12">
        <v>46282.395833333343</v>
      </c>
      <c r="D17" s="13"/>
      <c r="E17" s="13"/>
      <c r="F17" s="13" t="s">
        <v>83</v>
      </c>
      <c r="G17" s="13" t="s">
        <v>96</v>
      </c>
      <c r="H17" s="13" t="s">
        <v>126</v>
      </c>
      <c r="I17" s="10" t="str">
        <f>IF(tblJobs_MAIN[[#This Row],[S_Measure]]="","",IF(tblJobs_MAIN[[#This Row],[S_Measure]]="Sheet","sheets","metres"))</f>
        <v>metres</v>
      </c>
      <c r="J17" s="14">
        <v>12</v>
      </c>
      <c r="K17" s="8">
        <v>1200</v>
      </c>
      <c r="L17" s="13" t="s">
        <v>152</v>
      </c>
      <c r="M17" s="13" t="s">
        <v>152</v>
      </c>
      <c r="N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O17" s="16">
        <f>IF(tblJobs_MAIN[[#This Row],[Quantity]]="","",ROUND(tblJobs_MAIN[[#This Row],[Quantity]]*tblJobs_MAIN[[#This Row],[S_UnitCost]],SET_ROUND_DP))</f>
        <v>105</v>
      </c>
      <c r="P17" s="16">
        <f>IF(tblJobs_MAIN[[#This Row],[Area m2]]="","",ROUND(tblJobs_MAIN[[#This Row],[Area m2]]*tblJobs_MAIN[[#This Row],[S_ConsRate]],SET_ROUND_DP))</f>
        <v>41.04</v>
      </c>
      <c r="Q17" s="16">
        <f>IF(tblJobs_MAIN[[#This Row],[Paper Cost]]="","",tblJobs_MAIN[[#This Row],[Paper Cost]]+tblJobs_MAIN[[#This Row],[Consumable Cost]])</f>
        <v>146.04</v>
      </c>
      <c r="R17" s="16">
        <f>IF(tblJobs_MAIN[[#This Row],[Gross Cost]]="","",tblJobs_MAIN[[#This Row],[Gross Cost]]-tblJobs_MAIN[[#This Row],[Chargeable Cost]])</f>
        <v>0</v>
      </c>
      <c r="S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T17" s="13" t="s">
        <v>214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17" s="17" t="s">
        <v>95</v>
      </c>
      <c r="W17" s="17" t="s">
        <v>125</v>
      </c>
      <c r="X17" s="17" t="s">
        <v>84</v>
      </c>
      <c r="Y17" s="17" t="s">
        <v>58</v>
      </c>
      <c r="Z17" s="17" t="s">
        <v>56</v>
      </c>
      <c r="AA17" s="18">
        <v>8.75</v>
      </c>
      <c r="AB17" s="17">
        <v>914</v>
      </c>
      <c r="AC17" s="17"/>
      <c r="AD17" s="18">
        <v>2.85</v>
      </c>
      <c r="AE17" s="17">
        <v>46282.375</v>
      </c>
      <c r="AF17" s="17" t="s">
        <v>204</v>
      </c>
      <c r="AG17" s="17" t="s">
        <v>35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F13:F2000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G13:G2000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H13:H2000" xr:uid="{00000000-0002-0000-0900-000002000000}">
      <formula1>lstStocks</formula1>
    </dataValidation>
    <dataValidation type="list" allowBlank="1" showInputMessage="1" showErrorMessage="1" sqref="L13:M2000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J13:J2000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K13:K2000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C13:C2000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Z13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4.5" outlineLevelCol="1" x14ac:dyDescent="0.35"/>
  <cols>
    <col min="1" max="1" width="30.7265625" customWidth="1"/>
    <col min="2" max="2" width="16.7265625" customWidth="1"/>
    <col min="3" max="3" width="17.7265625" customWidth="1"/>
    <col min="4" max="4" width="22.7265625" customWidth="1"/>
    <col min="5" max="5" width="13.7265625" customWidth="1"/>
    <col min="6" max="6" width="18.7265625" customWidth="1"/>
    <col min="7" max="7" width="24.7265625" customWidth="1"/>
    <col min="8" max="8" width="30.7265625" customWidth="1"/>
    <col min="9" max="9" width="9.7265625" customWidth="1"/>
    <col min="10" max="10" width="10.7265625" customWidth="1"/>
    <col min="11" max="11" width="13.7265625" customWidth="1"/>
    <col min="12" max="12" width="15.7265625" customWidth="1"/>
    <col min="13" max="13" width="19.7265625" customWidth="1"/>
    <col min="14" max="14" width="11.7265625" customWidth="1"/>
    <col min="15" max="15" width="12.7265625" customWidth="1"/>
    <col min="16" max="16" width="15.7265625" customWidth="1"/>
    <col min="17" max="18" width="12.7265625" customWidth="1"/>
    <col min="19" max="19" width="15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52" max="52" width="0" hidden="1" customWidth="1"/>
  </cols>
  <sheetData>
    <row r="1" spans="1:52" ht="21" x14ac:dyDescent="0.35">
      <c r="A1" s="6" t="s">
        <v>147</v>
      </c>
      <c r="B1" s="1" t="s">
        <v>215</v>
      </c>
      <c r="D1" s="3" t="s">
        <v>159</v>
      </c>
      <c r="AL1" s="19" t="s">
        <v>220</v>
      </c>
      <c r="AZ1" t="s">
        <v>158</v>
      </c>
    </row>
    <row r="2" spans="1:52" x14ac:dyDescent="0.35">
      <c r="A2" s="6" t="s">
        <v>19</v>
      </c>
      <c r="B2" s="7" t="s">
        <v>88</v>
      </c>
      <c r="D2" s="2" t="s">
        <v>160</v>
      </c>
      <c r="AL2" s="19" t="s">
        <v>149</v>
      </c>
      <c r="AM2" t="s">
        <v>216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44</v>
      </c>
    </row>
    <row r="5" spans="1:52" x14ac:dyDescent="0.35">
      <c r="A5" s="21"/>
      <c r="B5" s="7"/>
      <c r="AL5" s="19" t="s">
        <v>154</v>
      </c>
      <c r="AM5" t="s">
        <v>217</v>
      </c>
    </row>
    <row r="6" spans="1:52" x14ac:dyDescent="0.35">
      <c r="A6" s="21"/>
      <c r="B6" s="5"/>
      <c r="AL6" s="20" t="s">
        <v>221</v>
      </c>
    </row>
    <row r="7" spans="1:52" x14ac:dyDescent="0.35">
      <c r="A7" s="6" t="s">
        <v>156</v>
      </c>
      <c r="B7" s="5" t="s">
        <v>157</v>
      </c>
    </row>
    <row r="10" spans="1:52" x14ac:dyDescent="0.35">
      <c r="A10" s="5" t="s">
        <v>161</v>
      </c>
      <c r="C10" s="5" t="s">
        <v>162</v>
      </c>
      <c r="E10" s="5" t="s">
        <v>163</v>
      </c>
      <c r="G10" s="5" t="s">
        <v>164</v>
      </c>
      <c r="I10" s="5" t="s">
        <v>165</v>
      </c>
      <c r="K10" s="5" t="s">
        <v>166</v>
      </c>
      <c r="M10" s="2" t="s">
        <v>167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185</v>
      </c>
      <c r="S12" s="4" t="s">
        <v>186</v>
      </c>
      <c r="T12" s="4" t="s">
        <v>6</v>
      </c>
      <c r="U12" s="4" t="s">
        <v>187</v>
      </c>
      <c r="V12" s="4" t="s">
        <v>188</v>
      </c>
      <c r="W12" s="4" t="s">
        <v>189</v>
      </c>
      <c r="X12" s="4" t="s">
        <v>190</v>
      </c>
      <c r="Y12" s="4" t="s">
        <v>191</v>
      </c>
      <c r="Z12" s="4" t="s">
        <v>192</v>
      </c>
      <c r="AA12" s="4" t="s">
        <v>193</v>
      </c>
      <c r="AB12" s="4" t="s">
        <v>194</v>
      </c>
      <c r="AC12" s="4" t="s">
        <v>195</v>
      </c>
      <c r="AD12" s="4" t="s">
        <v>196</v>
      </c>
      <c r="AE12" s="4" t="s">
        <v>197</v>
      </c>
      <c r="AF12" s="4" t="s">
        <v>198</v>
      </c>
      <c r="AG12" s="4" t="s">
        <v>199</v>
      </c>
    </row>
    <row r="13" spans="1:52" x14ac:dyDescent="0.35">
      <c r="A13" s="10" t="str">
        <f>IF(tblJobs_ANNEX[[#This Row],[Job ID]]="","",IF(tblJobs_ANNEX[[#This Row],[H_Issues]]="","OK",MID(tblJobs_ANNEX[[#This Row],[H_Issues]],3,255)))</f>
        <v>OK</v>
      </c>
      <c r="B13" s="5" t="s">
        <v>218</v>
      </c>
      <c r="C13" s="12">
        <v>46281.40625</v>
      </c>
      <c r="D13" s="13" t="s">
        <v>201</v>
      </c>
      <c r="E13" s="13" t="s">
        <v>202</v>
      </c>
      <c r="F13" s="13" t="s">
        <v>87</v>
      </c>
      <c r="G13" s="13" t="s">
        <v>101</v>
      </c>
      <c r="H13" s="13" t="s">
        <v>120</v>
      </c>
      <c r="I13" s="10" t="str">
        <f>IF(tblJobs_ANNEX[[#This Row],[S_Measure]]="","",IF(tblJobs_ANNEX[[#This Row],[S_Measure]]="Sheet","sheets","metres"))</f>
        <v>sheets</v>
      </c>
      <c r="J13" s="14">
        <v>40</v>
      </c>
      <c r="K13" s="8"/>
      <c r="L13" s="13" t="s">
        <v>152</v>
      </c>
      <c r="M13" s="13" t="s">
        <v>152</v>
      </c>
      <c r="N13" s="15">
        <f>IF(tblJobs_ANNEX[[#This Row],[Quantity]]="","",IF(tblJobs_ANNEX[[#This Row],[S_Measure]]="Sheet",(tblJobs_ANNEX[[#This Row],[S_StockWidth_mm]]/1000)*(tblJobs_ANNEX[[#This Row],[S_SheetHeight_mm]]/1000)*tblJobs_ANNEX[[#This Row],[Quantity]],(IF(tblJobs_ANNEX[[#This Row],[Print Width mm]]="",tblJobs_ANNEX[[#This Row],[S_StockWidth_mm]],tblJobs_ANNEX[[#This Row],[Print Width mm]])/1000)*tblJobs_ANNEX[[#This Row],[Quantity]]))</f>
        <v>5.7600000000000007</v>
      </c>
      <c r="O13" s="16">
        <f>IF(tblJobs_ANNEX[[#This Row],[Quantity]]="","",ROUND(tblJobs_ANNEX[[#This Row],[Quantity]]*tblJobs_ANNEX[[#This Row],[S_UnitCost]],SET_ROUND_DP))</f>
        <v>12.4</v>
      </c>
      <c r="P13" s="16">
        <f>IF(tblJobs_ANNEX[[#This Row],[Area m2]]="","",ROUND(tblJobs_ANNEX[[#This Row],[Area m2]]*tblJobs_ANNEX[[#This Row],[S_ConsRate]],SET_ROUND_DP))</f>
        <v>5.47</v>
      </c>
      <c r="Q13" s="16">
        <f>IF(tblJobs_ANNEX[[#This Row],[Paper Cost]]="","",tblJobs_ANNEX[[#This Row],[Paper Cost]]+tblJobs_ANNEX[[#This Row],[Consumable Cost]])</f>
        <v>17.87</v>
      </c>
      <c r="R13" s="16">
        <f>IF(tblJobs_ANNEX[[#This Row],[Gross Cost]]="","",tblJobs_ANNEX[[#This Row],[Gross Cost]]-tblJobs_ANNEX[[#This Row],[Chargeable Cost]])</f>
        <v>0</v>
      </c>
      <c r="S13" s="16">
        <f>IF(tblJobs_ANNEX[[#This Row],[Paper Cost]]="","",IF(tblJobs_ANNEX[[#This Row],[Disregard Paper]]="Yes",0,tblJobs_ANNEX[[#This Row],[Paper Cost]])+IF(tblJobs_ANNEX[[#This Row],[Disregard Consumable]]="Yes",0,tblJobs_ANNEX[[#This Row],[Consumable Cost]]))</f>
        <v>17.87</v>
      </c>
      <c r="T13" s="13" t="s">
        <v>219</v>
      </c>
      <c r="U13" s="17" t="str">
        <f>IF(tblJobs_ANNEX[[#This Row],[Job ID]]="","",IF(tblJobs_ANNEX[[#This Row],[Date/Time]]="","; Date and time required","")&amp;IF(AND(tblJobs_ANNEX[[#This Row],[Student Name]]="",tblJobs_ANNEX[[#This Row],[Student No]]=""),"; Student name or number required","")&amp;IF(tblJobs_ANNEX[[#This Row],[Technician]]="","; Technician required","")&amp;IF(tblJobs_ANNEX[[#This Row],[Printer]]="","; Printer required","")&amp;IF(tblJobs_ANNEX[[#This Row],[Paper Stock]]="","; Paper stock required","")&amp;IF(tblJobs_ANNEX[[#This Row],[Quantity]]="","; Quantity required",IF(tblJobs_ANNEX[[#This Row],[Quantity]]&lt;=0,"; Quantity must be greater than zero",""))&amp;IF(AND(tblJobs_ANNEX[[#This Row],[S_Measure]]="Sheet",tblJobs_ANNEX[[#This Row],[Quantity]]&lt;&gt;"",tblJobs_ANNEX[[#This Row],[Quantity]]&lt;&gt;INT(tblJobs_ANNEX[[#This Row],[Quantity]])),"; Sheet quantity must be a whole number","")&amp;IF(AND(tblJobs_ANNEX[[#This Row],[S_Measure]]="Sheet",tblJobs_ANNEX[[#This Row],[Print Width mm]]&lt;&gt;""),"; Print width does not apply to sheet stock","")&amp;IF(AND(tblJobs_ANNEX[[#This Row],[Print Width mm]]&lt;&gt;"",tblJobs_ANNEX[[#This Row],[Print Width mm]]&gt;tblJobs_ANNEX[[#This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204</v>
      </c>
      <c r="AG13" s="17" t="s">
        <v>35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F13:F2000" xr:uid="{00000000-0002-0000-0A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G13:G2000" xr:uid="{00000000-0002-0000-0A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H13:H2000" xr:uid="{00000000-0002-0000-0A00-000002000000}">
      <formula1>lstStocks</formula1>
    </dataValidation>
    <dataValidation type="list" allowBlank="1" showInputMessage="1" showErrorMessage="1" sqref="L13:M2000" xr:uid="{00000000-0002-0000-0A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J13:J2000" xr:uid="{00000000-0002-0000-0A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K13:K2000" xr:uid="{00000000-0002-0000-0A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C13:C2000" xr:uid="{00000000-0002-0000-0A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31</vt:i4>
      </vt:variant>
    </vt:vector>
  </HeadingPairs>
  <TitlesOfParts>
    <vt:vector size="37" baseType="lpstr">
      <vt:lpstr>Settings</vt:lpstr>
      <vt:lpstr>Print Technicians</vt:lpstr>
      <vt:lpstr>Printers</vt:lpstr>
      <vt:lpstr>Papers</vt:lpstr>
      <vt:lpstr>Main Print Room</vt:lpstr>
      <vt:lpstr>Annexe</vt:lpstr>
      <vt:lpstr>Annexe!LOC_Code</vt:lpstr>
      <vt:lpstr>'Main Print Room'!LOC_Code</vt:lpstr>
      <vt:lpstr>Annexe!LOC_DefDisCons</vt:lpstr>
      <vt:lpstr>'Main Print Room'!LOC_DefDisCons</vt:lpstr>
      <vt:lpstr>Annexe!LOC_DefDisPaper</vt:lpstr>
      <vt:lpstr>'Main Print Room'!LOC_DefDisPaper</vt:lpstr>
      <vt:lpstr>Annexe!LOC_Dept</vt:lpstr>
      <vt:lpstr>'Main Print Room'!LOC_Dept</vt:lpstr>
      <vt:lpstr>Annexe!LOC_Name</vt:lpstr>
      <vt:lpstr>'Main Print Room'!LOC_Name</vt:lpstr>
      <vt:lpstr>Annexe!LOC_Printers</vt:lpstr>
      <vt:lpstr>'Main Print Room'!LOC_Printers</vt:lpstr>
      <vt:lpstr>Annexe!LOC_Status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2026-09-25T17:36:36Z</dcterms:modified>
</cp:coreProperties>
</file>